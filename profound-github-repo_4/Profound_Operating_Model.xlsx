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840" yWindow="-24100" windowWidth="34200" windowHeight="21460"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Rev-Capacity" sheetId="3" state="visible" r:id="rId3"/>
    <sheet xmlns:r="http://schemas.openxmlformats.org/officeDocument/2006/relationships" name="Rev-Cohorts" sheetId="4" state="visible" r:id="rId4"/>
    <sheet xmlns:r="http://schemas.openxmlformats.org/officeDocument/2006/relationships" name="Rev-ARR Bridge" sheetId="5" state="visible" r:id="rId5"/>
    <sheet xmlns:r="http://schemas.openxmlformats.org/officeDocument/2006/relationships" name="Headcount" sheetId="6" state="visible" r:id="rId6"/>
    <sheet xmlns:r="http://schemas.openxmlformats.org/officeDocument/2006/relationships" name="P&amp;L" sheetId="7" state="visible" r:id="rId7"/>
    <sheet xmlns:r="http://schemas.openxmlformats.org/officeDocument/2006/relationships" name="Cash Flow" sheetId="8" state="visible" r:id="rId8"/>
    <sheet xmlns:r="http://schemas.openxmlformats.org/officeDocument/2006/relationships" name="KPIs" sheetId="9" state="visible" r:id="rId9"/>
    <sheet xmlns:r="http://schemas.openxmlformats.org/officeDocument/2006/relationships" name="Scenarios" sheetId="10" state="visible" r:id="rId10"/>
    <sheet xmlns:r="http://schemas.openxmlformats.org/officeDocument/2006/relationships" name="Checks" sheetId="11" state="visible" r:id="rId11"/>
  </sheets>
  <definedNames/>
  <calcPr calcId="191029" fullCalcOnLoad="1"/>
</workbook>
</file>

<file path=xl/styles.xml><?xml version="1.0" encoding="utf-8"?>
<styleSheet xmlns="http://schemas.openxmlformats.org/spreadsheetml/2006/main">
  <numFmts count="8">
    <numFmt numFmtId="164" formatCode="\$#,##0;\(\$#,##0\);&quot;-&quot;"/>
    <numFmt numFmtId="165" formatCode="#,##0;\(#,##0\);&quot;-&quot;"/>
    <numFmt numFmtId="166" formatCode="0.0%;\(0.0%\);&quot;-&quot;"/>
    <numFmt numFmtId="167" formatCode="0%;\(0%\);&quot;-&quot;"/>
    <numFmt numFmtId="168" formatCode="#,##0.00;\(#,##0.00\);&quot;-&quot;"/>
    <numFmt numFmtId="169" formatCode="#,##0.0;\(#,##0.0\);&quot;-&quot;"/>
    <numFmt numFmtId="170" formatCode="\$#,##0.00000"/>
    <numFmt numFmtId="171" formatCode="0.00&quot;x&quot;;\(0.00&quot;x&quot;\);&quot;-&quot;"/>
  </numFmts>
  <fonts count="44">
    <font>
      <name val="Calibri"/>
      <family val="2"/>
      <color theme="1"/>
      <sz val="11"/>
      <scheme val="minor"/>
    </font>
    <font>
      <name val="Calibri"/>
      <family val="2"/>
      <b val="1"/>
      <color rgb="FF1F3864"/>
      <sz val="20"/>
    </font>
    <font>
      <name val="Calibri"/>
      <family val="2"/>
      <color rgb="FF1F3864"/>
      <sz val="13"/>
    </font>
    <font>
      <name val="Calibri"/>
      <family val="2"/>
      <b val="1"/>
      <color rgb="FFFFFFFF"/>
      <sz val="10"/>
    </font>
    <font>
      <name val="Calibri"/>
      <family val="2"/>
      <b val="1"/>
      <sz val="9.5"/>
    </font>
    <font>
      <name val="Calibri"/>
      <family val="2"/>
      <sz val="9"/>
    </font>
    <font>
      <name val="Calibri"/>
      <family val="2"/>
      <b val="1"/>
      <color rgb="FF0000C0"/>
      <sz val="9.5"/>
    </font>
    <font>
      <name val="Calibri"/>
      <family val="2"/>
      <color rgb="FF808080"/>
      <sz val="9"/>
    </font>
    <font>
      <name val="Calibri"/>
      <family val="2"/>
      <b val="1"/>
      <color rgb="FF000000"/>
      <sz val="9.5"/>
    </font>
    <font>
      <name val="Calibri"/>
      <family val="2"/>
      <b val="1"/>
      <color rgb="FF7030A0"/>
      <sz val="9.5"/>
    </font>
    <font>
      <name val="Calibri"/>
      <family val="2"/>
      <b val="1"/>
      <color rgb="FF006100"/>
      <sz val="9.5"/>
    </font>
    <font>
      <name val="Calibri"/>
      <family val="2"/>
      <b val="1"/>
      <color rgb="FF1F3864"/>
      <sz val="14"/>
    </font>
    <font>
      <name val="Calibri"/>
      <family val="2"/>
      <b val="1"/>
      <color rgb="FFFFFFFF"/>
      <sz val="10"/>
    </font>
    <font>
      <name val="Calibri"/>
      <family val="2"/>
      <b val="1"/>
      <color rgb="FF0000C0"/>
      <sz val="10"/>
    </font>
    <font>
      <name val="Calibri"/>
      <family val="2"/>
      <i val="1"/>
      <color rgb="FFFFFFFF"/>
      <sz val="8"/>
    </font>
    <font>
      <name val="Calibri"/>
      <family val="2"/>
      <b val="1"/>
      <color rgb="FF1F3864"/>
      <sz val="9"/>
    </font>
    <font>
      <name val="Calibri"/>
      <family val="2"/>
      <i val="1"/>
      <color rgb="FF808080"/>
      <sz val="8"/>
    </font>
    <font>
      <name val="Calibri"/>
      <family val="2"/>
      <sz val="9.5"/>
    </font>
    <font>
      <name val="Calibri"/>
      <family val="2"/>
      <color rgb="FF808080"/>
      <sz val="8"/>
    </font>
    <font>
      <name val="Calibri"/>
      <family val="2"/>
      <color rgb="FF0000C0"/>
      <sz val="9.5"/>
    </font>
    <font>
      <name val="Calibri"/>
      <family val="2"/>
      <i val="1"/>
      <color rgb="FF808080"/>
      <sz val="8"/>
    </font>
    <font>
      <name val="Calibri"/>
      <family val="2"/>
      <b val="1"/>
      <color rgb="FF1F3864"/>
      <sz val="9"/>
    </font>
    <font>
      <name val="Calibri"/>
      <family val="2"/>
      <i val="1"/>
      <sz val="9.5"/>
    </font>
    <font>
      <name val="Calibri"/>
      <family val="2"/>
      <b val="1"/>
      <sz val="9.5"/>
    </font>
    <font>
      <name val="Calibri"/>
      <family val="2"/>
      <b val="1"/>
      <sz val="8.5"/>
    </font>
    <font>
      <name val="Calibri"/>
      <family val="2"/>
      <color rgb="FF808080"/>
      <sz val="8.5"/>
    </font>
    <font>
      <name val="Calibri"/>
      <family val="2"/>
      <color rgb="FF006100"/>
      <sz val="9.5"/>
    </font>
    <font>
      <name val="Calibri"/>
      <family val="2"/>
      <color rgb="FF7030A0"/>
      <sz val="9.5"/>
    </font>
    <font>
      <name val="Calibri"/>
      <family val="2"/>
      <color rgb="FF000000"/>
      <sz val="9.5"/>
    </font>
    <font>
      <name val="Calibri"/>
      <family val="2"/>
      <b val="1"/>
      <color rgb="FF000000"/>
      <sz val="9.5"/>
    </font>
    <font>
      <name val="Calibri"/>
      <family val="2"/>
      <b val="1"/>
      <color rgb="FF006100"/>
      <sz val="9.5"/>
    </font>
    <font>
      <name val="Calibri"/>
      <family val="2"/>
      <color rgb="FFC00000"/>
      <sz val="9.5"/>
    </font>
    <font>
      <name val="Calibri"/>
      <family val="2"/>
      <color rgb="FF7030A0"/>
      <sz val="10"/>
    </font>
    <font>
      <name val="Calibri"/>
      <family val="2"/>
      <b val="1"/>
      <color rgb="FF006100"/>
      <sz val="10"/>
    </font>
    <font>
      <name val="Calibri"/>
      <family val="2"/>
      <b val="1"/>
      <color rgb="FFFFFFFF"/>
      <sz val="11"/>
    </font>
    <font>
      <name val="Calibri"/>
      <family val="2"/>
      <color rgb="FF006100"/>
      <sz val="9.5"/>
    </font>
    <font>
      <name val="Calibri"/>
      <family val="2"/>
      <sz val="8.5"/>
    </font>
    <font>
      <name val="Calibri"/>
      <family val="2"/>
      <b val="1"/>
      <color rgb="FF000000"/>
      <sz val="10"/>
    </font>
    <font>
      <name val="Calibri"/>
      <family val="2"/>
      <b val="1"/>
      <sz val="12"/>
    </font>
    <font>
      <name val="Calibri"/>
      <family val="2"/>
      <b val="1"/>
      <color theme="0"/>
      <sz val="10"/>
    </font>
    <font>
      <name val="Calibri"/>
      <family val="2"/>
      <b val="1"/>
      <color theme="1"/>
      <sz val="9.5"/>
    </font>
    <font>
      <name val="Calibri"/>
      <family val="2"/>
      <color theme="1"/>
      <sz val="9.5"/>
    </font>
    <font>
      <name val="Calibri (Body)"/>
      <color theme="1"/>
      <sz val="9.5"/>
    </font>
    <font>
      <name val="Calibri (Body)"/>
      <color theme="1"/>
      <sz val="11"/>
    </font>
  </fonts>
  <fills count="5">
    <fill>
      <patternFill/>
    </fill>
    <fill>
      <patternFill patternType="gray125"/>
    </fill>
    <fill>
      <patternFill patternType="solid">
        <fgColor rgb="FF1F3864"/>
      </patternFill>
    </fill>
    <fill>
      <patternFill patternType="solid">
        <fgColor rgb="FFFFE699"/>
      </patternFill>
    </fill>
    <fill>
      <patternFill patternType="solid">
        <fgColor rgb="FFFFF9E6"/>
      </patternFill>
    </fill>
  </fills>
  <borders count="2">
    <border>
      <left/>
      <right/>
      <top/>
      <bottom/>
      <diagonal/>
    </border>
    <border>
      <left/>
      <right/>
      <top/>
      <bottom style="thin">
        <color rgb="FFBFBFBF"/>
      </bottom>
      <diagonal/>
    </border>
  </borders>
  <cellStyleXfs count="1">
    <xf numFmtId="0" fontId="0" fillId="0" borderId="0"/>
  </cellStyleXfs>
  <cellXfs count="10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5" fillId="0" borderId="0" pivotButton="0" quotePrefix="0" xfId="0"/>
    <xf numFmtId="0" fontId="11" fillId="0" borderId="0" pivotButton="0" quotePrefix="0" xfId="0"/>
    <xf numFmtId="0" fontId="12" fillId="2" borderId="0" pivotButton="0" quotePrefix="0" xfId="0"/>
    <xf numFmtId="0" fontId="13" fillId="3" borderId="0" applyAlignment="1" pivotButton="0" quotePrefix="0" xfId="0">
      <alignment horizontal="center"/>
    </xf>
    <xf numFmtId="0" fontId="14" fillId="2" borderId="0" pivotButton="0" quotePrefix="0" xfId="0"/>
    <xf numFmtId="0" fontId="16" fillId="0" borderId="0" pivotButton="0" quotePrefix="0" xfId="0"/>
    <xf numFmtId="0" fontId="15" fillId="0" borderId="0" applyAlignment="1" pivotButton="0" quotePrefix="0" xfId="0">
      <alignment horizontal="center"/>
    </xf>
    <xf numFmtId="0" fontId="17" fillId="0" borderId="0" pivotButton="0" quotePrefix="0" xfId="0"/>
    <xf numFmtId="0" fontId="18" fillId="0" borderId="0" applyAlignment="1" pivotButton="0" quotePrefix="0" xfId="0">
      <alignment horizontal="right"/>
    </xf>
    <xf numFmtId="164" fontId="19" fillId="4" borderId="0" pivotButton="0" quotePrefix="0" xfId="0"/>
    <xf numFmtId="165" fontId="19" fillId="4" borderId="0" pivotButton="0" quotePrefix="0" xfId="0"/>
    <xf numFmtId="166" fontId="19" fillId="4" borderId="0" pivotButton="0" quotePrefix="0" xfId="0"/>
    <xf numFmtId="0" fontId="20" fillId="0" borderId="0" pivotButton="0" quotePrefix="0" xfId="0"/>
    <xf numFmtId="167" fontId="19" fillId="4" borderId="0" pivotButton="0" quotePrefix="0" xfId="0"/>
    <xf numFmtId="168" fontId="19" fillId="4" borderId="0" pivotButton="0" quotePrefix="0" xfId="0"/>
    <xf numFmtId="0" fontId="21" fillId="0" borderId="1" pivotButton="0" quotePrefix="0" xfId="0"/>
    <xf numFmtId="0" fontId="0" fillId="0" borderId="1" pivotButton="0" quotePrefix="0" xfId="0"/>
    <xf numFmtId="0" fontId="22" fillId="0" borderId="0" pivotButton="0" quotePrefix="0" xfId="0"/>
    <xf numFmtId="0" fontId="23" fillId="0" borderId="0" pivotButton="0" quotePrefix="0" xfId="0"/>
    <xf numFmtId="167" fontId="9" fillId="0" borderId="0" pivotButton="0" quotePrefix="0" xfId="0"/>
    <xf numFmtId="169" fontId="19" fillId="4" borderId="0" pivotButton="0" quotePrefix="0" xfId="0"/>
    <xf numFmtId="169" fontId="9" fillId="0" borderId="0" pivotButton="0" quotePrefix="0" xfId="0"/>
    <xf numFmtId="166" fontId="9" fillId="0" borderId="0" pivotButton="0" quotePrefix="0" xfId="0"/>
    <xf numFmtId="170" fontId="19" fillId="4" borderId="0" pivotButton="0" quotePrefix="0" xfId="0"/>
    <xf numFmtId="171" fontId="19" fillId="4" borderId="0" pivotButton="0" quotePrefix="0" xfId="0"/>
    <xf numFmtId="17" fontId="21" fillId="0" borderId="0" applyAlignment="1" pivotButton="0" quotePrefix="0" xfId="0">
      <alignment horizontal="center"/>
    </xf>
    <xf numFmtId="0" fontId="21" fillId="0" borderId="0" applyAlignment="1" pivotButton="0" quotePrefix="0" xfId="0">
      <alignment horizontal="center"/>
    </xf>
    <xf numFmtId="1" fontId="18" fillId="0" borderId="0" applyAlignment="1" pivotButton="0" quotePrefix="0" xfId="0">
      <alignment horizontal="center"/>
    </xf>
    <xf numFmtId="0" fontId="17" fillId="0" borderId="1" pivotButton="0" quotePrefix="0" xfId="0"/>
    <xf numFmtId="0" fontId="18" fillId="0" borderId="1" applyAlignment="1" pivotButton="0" quotePrefix="0" xfId="0">
      <alignment horizontal="right"/>
    </xf>
    <xf numFmtId="1" fontId="18" fillId="0" borderId="1" applyAlignment="1" pivotButton="0" quotePrefix="0" xfId="0">
      <alignment horizontal="center"/>
    </xf>
    <xf numFmtId="169" fontId="26" fillId="0" borderId="0" pivotButton="0" quotePrefix="0" xfId="0"/>
    <xf numFmtId="169" fontId="27" fillId="0" borderId="0" pivotButton="0" quotePrefix="0" xfId="0"/>
    <xf numFmtId="169" fontId="28" fillId="0" borderId="0" pivotButton="0" quotePrefix="0" xfId="0"/>
    <xf numFmtId="169" fontId="29" fillId="0" borderId="0" pivotButton="0" quotePrefix="0" xfId="0"/>
    <xf numFmtId="164" fontId="29" fillId="0" borderId="0" pivotButton="0" quotePrefix="0" xfId="0"/>
    <xf numFmtId="164" fontId="27" fillId="0" borderId="0" pivotButton="0" quotePrefix="0" xfId="0"/>
    <xf numFmtId="164" fontId="28" fillId="0" borderId="0" pivotButton="0" quotePrefix="0" xfId="0"/>
    <xf numFmtId="167" fontId="26" fillId="0" borderId="0" pivotButton="0" quotePrefix="0" xfId="0"/>
    <xf numFmtId="166" fontId="26" fillId="0" borderId="0" pivotButton="0" quotePrefix="0" xfId="0"/>
    <xf numFmtId="164" fontId="26" fillId="0" borderId="0" pivotButton="0" quotePrefix="0" xfId="0"/>
    <xf numFmtId="164" fontId="30" fillId="0" borderId="0" pivotButton="0" quotePrefix="0" xfId="0"/>
    <xf numFmtId="167" fontId="28" fillId="0" borderId="0" pivotButton="0" quotePrefix="0" xfId="0"/>
    <xf numFmtId="167" fontId="27" fillId="0" borderId="0" pivotButton="0" quotePrefix="0" xfId="0"/>
    <xf numFmtId="168" fontId="28" fillId="0" borderId="0" pivotButton="0" quotePrefix="0" xfId="0"/>
    <xf numFmtId="165" fontId="28" fillId="0" borderId="0" pivotButton="0" quotePrefix="0" xfId="0"/>
    <xf numFmtId="170" fontId="28" fillId="0" borderId="0" pivotButton="0" quotePrefix="0" xfId="0"/>
    <xf numFmtId="166" fontId="28" fillId="0" borderId="0" pivotButton="0" quotePrefix="0" xfId="0"/>
    <xf numFmtId="166" fontId="27" fillId="0" borderId="0" pivotButton="0" quotePrefix="0" xfId="0"/>
    <xf numFmtId="166" fontId="30" fillId="0" borderId="0" pivotButton="0" quotePrefix="0" xfId="0"/>
    <xf numFmtId="171" fontId="30" fillId="0" borderId="0" pivotButton="0" quotePrefix="0" xfId="0"/>
    <xf numFmtId="171" fontId="27" fillId="0" borderId="0" pivotButton="0" quotePrefix="0" xfId="0"/>
    <xf numFmtId="169" fontId="30" fillId="0" borderId="0" pivotButton="0" quotePrefix="0" xfId="0"/>
    <xf numFmtId="171" fontId="26" fillId="0" borderId="0" pivotButton="0" quotePrefix="0" xfId="0"/>
    <xf numFmtId="0" fontId="31" fillId="0" borderId="0" pivotButton="0" quotePrefix="0" xfId="0"/>
    <xf numFmtId="165" fontId="26" fillId="0" borderId="0" pivotButton="0" quotePrefix="0" xfId="0"/>
    <xf numFmtId="165" fontId="32" fillId="0" borderId="0" pivotButton="0" quotePrefix="0" xfId="0"/>
    <xf numFmtId="0" fontId="33" fillId="0" borderId="0" applyAlignment="1" pivotButton="0" quotePrefix="0" xfId="0">
      <alignment horizontal="left"/>
    </xf>
    <xf numFmtId="164" fontId="33" fillId="0" borderId="0" applyAlignment="1" pivotButton="0" quotePrefix="0" xfId="0">
      <alignment horizontal="right"/>
    </xf>
    <xf numFmtId="0" fontId="34" fillId="2" borderId="0" pivotButton="0" quotePrefix="0" xfId="0"/>
    <xf numFmtId="164" fontId="35" fillId="0" borderId="0" pivotButton="0" quotePrefix="0" xfId="0"/>
    <xf numFmtId="167" fontId="35" fillId="0" borderId="0" pivotButton="0" quotePrefix="0" xfId="0"/>
    <xf numFmtId="166" fontId="35" fillId="0" borderId="0" pivotButton="0" quotePrefix="0" xfId="0"/>
    <xf numFmtId="169" fontId="35" fillId="0" borderId="0" pivotButton="0" quotePrefix="0" xfId="0"/>
    <xf numFmtId="171" fontId="35" fillId="0" borderId="0" pivotButton="0" quotePrefix="0" xfId="0"/>
    <xf numFmtId="164" fontId="8" fillId="0" borderId="0" applyAlignment="1" pivotButton="0" quotePrefix="0" xfId="0">
      <alignment horizontal="right"/>
    </xf>
    <xf numFmtId="164" fontId="19" fillId="0" borderId="0" applyAlignment="1" pivotButton="0" quotePrefix="0" xfId="0">
      <alignment horizontal="right"/>
    </xf>
    <xf numFmtId="169" fontId="19" fillId="0" borderId="0" applyAlignment="1" pivotButton="0" quotePrefix="0" xfId="0">
      <alignment horizontal="right"/>
    </xf>
    <xf numFmtId="0" fontId="19" fillId="0" borderId="0" applyAlignment="1" pivotButton="0" quotePrefix="0" xfId="0">
      <alignment horizontal="center"/>
    </xf>
    <xf numFmtId="0" fontId="15" fillId="0" borderId="0" pivotButton="0" quotePrefix="0" xfId="0"/>
    <xf numFmtId="0" fontId="26" fillId="0" borderId="0" pivotButton="0" quotePrefix="0" xfId="0"/>
    <xf numFmtId="0" fontId="37" fillId="0" borderId="0" applyAlignment="1" pivotButton="0" quotePrefix="0" xfId="0">
      <alignment horizontal="center"/>
    </xf>
    <xf numFmtId="0" fontId="38" fillId="0" borderId="0" pivotButton="0" quotePrefix="0" xfId="0"/>
    <xf numFmtId="0" fontId="5" fillId="0" borderId="0" applyAlignment="1" pivotButton="0" quotePrefix="0" xfId="0">
      <alignment horizontal="left" vertical="top" wrapText="1"/>
    </xf>
    <xf numFmtId="0" fontId="4" fillId="0" borderId="0" applyAlignment="1" pivotButton="0" quotePrefix="0" xfId="0">
      <alignment horizontal="left" vertical="top"/>
    </xf>
    <xf numFmtId="0" fontId="39" fillId="2" borderId="0" pivotButton="0" quotePrefix="0" xfId="0"/>
    <xf numFmtId="0" fontId="24" fillId="0" borderId="0" applyAlignment="1" pivotButton="0" quotePrefix="0" xfId="0">
      <alignment horizontal="left" vertical="top"/>
    </xf>
    <xf numFmtId="0" fontId="0" fillId="0" borderId="0" applyAlignment="1" pivotButton="0" quotePrefix="0" xfId="0">
      <alignment horizontal="left" vertical="top"/>
    </xf>
    <xf numFmtId="0" fontId="25" fillId="0" borderId="0" applyAlignment="1" pivotButton="0" quotePrefix="0" xfId="0">
      <alignment horizontal="left" vertical="top" wrapText="1"/>
    </xf>
    <xf numFmtId="164" fontId="40" fillId="0" borderId="0" pivotButton="0" quotePrefix="0" xfId="0"/>
    <xf numFmtId="164" fontId="41" fillId="0" borderId="0" pivotButton="0" quotePrefix="0" xfId="0"/>
    <xf numFmtId="169" fontId="41" fillId="0" borderId="0" pivotButton="0" quotePrefix="0" xfId="0"/>
    <xf numFmtId="166" fontId="41" fillId="0" borderId="0" pivotButton="0" quotePrefix="0" xfId="0"/>
    <xf numFmtId="164" fontId="42" fillId="0" borderId="0" pivotButton="0" quotePrefix="0" xfId="0"/>
    <xf numFmtId="0" fontId="43" fillId="0" borderId="0" pivotButton="0" quotePrefix="0" xfId="0"/>
    <xf numFmtId="0" fontId="22" fillId="0" borderId="0" applyAlignment="1" pivotButton="0" quotePrefix="0" xfId="0">
      <alignment horizontal="left" indent="2"/>
    </xf>
    <xf numFmtId="0" fontId="36" fillId="0" borderId="0" applyAlignment="1" pivotButton="0" quotePrefix="0" xfId="0">
      <alignment horizontal="left" vertical="top" wrapText="1"/>
    </xf>
    <xf numFmtId="0" fontId="23" fillId="0" borderId="0" applyAlignment="1" pivotButton="0" quotePrefix="0" xfId="0">
      <alignment horizontal="left" vertical="top"/>
    </xf>
    <xf numFmtId="0" fontId="18" fillId="0" borderId="0" applyAlignment="1" pivotButton="0" quotePrefix="0" xfId="0">
      <alignment horizontal="left" vertical="top"/>
    </xf>
    <xf numFmtId="0" fontId="20" fillId="0" borderId="0" applyAlignment="1" pivotButton="0" quotePrefix="0" xfId="0">
      <alignment horizontal="left" vertical="top"/>
    </xf>
    <xf numFmtId="164" fontId="6" fillId="0" borderId="0" applyAlignment="1" pivotButton="0" quotePrefix="0" xfId="0">
      <alignment horizontal="right"/>
    </xf>
    <xf numFmtId="169" fontId="6" fillId="0" borderId="0" applyAlignment="1" pivotButton="0" quotePrefix="0" xfId="0">
      <alignment horizontal="right"/>
    </xf>
    <xf numFmtId="0" fontId="6" fillId="0" borderId="0" applyAlignment="1" pivotButton="0" quotePrefix="0" xfId="0">
      <alignment horizontal="center"/>
    </xf>
  </cellXfs>
  <cellStyles count="1">
    <cellStyle name="Normal" xfId="0" builtinId="0"/>
  </cellStyles>
  <dxfs count="7">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C29"/>
  <sheetViews>
    <sheetView showGridLines="0" tabSelected="1" workbookViewId="0">
      <selection activeCell="A1" sqref="A1"/>
    </sheetView>
  </sheetViews>
  <sheetFormatPr baseColWidth="10" defaultColWidth="8.83203125" defaultRowHeight="15"/>
  <cols>
    <col width="2.5" customWidth="1" min="1" max="1"/>
    <col width="34" customWidth="1" min="2" max="2"/>
    <col width="78" customWidth="1" min="3" max="3"/>
    <col width="11.5" customWidth="1" min="4" max="63"/>
    <col width="2.5" customWidth="1" min="64" max="64"/>
    <col width="13" customWidth="1" min="65" max="69"/>
  </cols>
  <sheetData>
    <row r="1"/>
    <row r="2" ht="26" customHeight="1">
      <c r="B2" s="1" t="inlineStr">
        <is>
          <t>Profound</t>
        </is>
      </c>
    </row>
    <row r="3" ht="17" customHeight="1">
      <c r="B3" s="2" t="inlineStr">
        <is>
          <t>Five Year Operating Model</t>
        </is>
      </c>
    </row>
    <row r="4"/>
    <row r="5"/>
    <row r="6">
      <c r="B6" s="3" t="inlineStr">
        <is>
          <t>HOW THIS MODEL IS BUILT</t>
        </is>
      </c>
      <c r="C6" s="4" t="n"/>
    </row>
    <row r="7" ht="28" customHeight="1">
      <c r="B7" s="85" t="inlineStr">
        <is>
          <t>Revenue is an output, not a target</t>
        </is>
      </c>
      <c r="C7" s="84" t="inlineStr">
        <is>
          <t>The hiring plan is the input. Sales capacity, ramp and attrition determine new bookings, and growth falls out.</t>
        </is>
      </c>
    </row>
    <row r="8" ht="28" customHeight="1">
      <c r="B8" s="85" t="inlineStr">
        <is>
          <t>NRR, GRR and gross margin are outputs</t>
        </is>
      </c>
      <c r="C8" s="84" t="inlineStr">
        <is>
          <t xml:space="preserve">They are computed from retention and expansion drivers and from query volume, then compared against benchmark on the KPIs tab. </t>
        </is>
      </c>
    </row>
    <row r="9" ht="28" customHeight="1">
      <c r="B9" s="85" t="inlineStr">
        <is>
          <t>Cohorts are dollar denominated</t>
        </is>
      </c>
      <c r="C9" s="84" t="inlineStr">
        <is>
          <t>Correct basis for NRR and GRR. A separate logo view uses a worse churn rate and does not feed the ARR calculation.</t>
        </is>
      </c>
    </row>
    <row r="10" ht="28" customHeight="1">
      <c r="B10" s="85" t="inlineStr">
        <is>
          <t>Every input lives on the Inputs tab</t>
        </is>
      </c>
      <c r="C10" s="84" t="inlineStr">
        <is>
          <t>A hardcoded value anywhere else in this workbook is a defect. Change any blue cell and the model recalculates.</t>
        </is>
      </c>
    </row>
    <row r="11" ht="28" customHeight="1">
      <c r="B11" s="85" t="inlineStr">
        <is>
          <t>Checks ship inside the workbook</t>
        </is>
      </c>
      <c r="C11" s="84" t="inlineStr">
        <is>
          <t xml:space="preserve">The Checks tab reconciles cohorts to the ARR bridge, the deferred revenue roll and the cash roll on every period. </t>
        </is>
      </c>
    </row>
    <row r="12"/>
    <row r="13">
      <c r="B13" s="3" t="inlineStr">
        <is>
          <t>FORMATTING KEY</t>
        </is>
      </c>
      <c r="C13" s="4" t="n"/>
    </row>
    <row r="14">
      <c r="B14" s="6" t="inlineStr">
        <is>
          <t>Hardcoded input</t>
        </is>
      </c>
      <c r="C14" s="7" t="inlineStr">
        <is>
          <t>Inputs tab only</t>
        </is>
      </c>
    </row>
    <row r="15">
      <c r="B15" s="8" t="inlineStr">
        <is>
          <t>Calculation</t>
        </is>
      </c>
      <c r="C15" s="7" t="inlineStr">
        <is>
          <t>Formula computed on this sheet</t>
        </is>
      </c>
    </row>
    <row r="16">
      <c r="B16" s="9" t="inlineStr">
        <is>
          <t>Same sheet reference</t>
        </is>
      </c>
      <c r="C16" s="7" t="inlineStr">
        <is>
          <t>Points at another cell on this sheet</t>
        </is>
      </c>
    </row>
    <row r="17">
      <c r="B17" s="10" t="inlineStr">
        <is>
          <t>Link to another sheet</t>
        </is>
      </c>
      <c r="C17" s="7" t="inlineStr">
        <is>
          <t>Cross sheet reference</t>
        </is>
      </c>
    </row>
    <row r="18"/>
    <row r="19">
      <c r="B19" s="3" t="inlineStr">
        <is>
          <t>TAB MAP</t>
        </is>
      </c>
      <c r="C19" s="4" t="n"/>
    </row>
    <row r="20">
      <c r="B20" s="5" t="inlineStr">
        <is>
          <t>Inputs</t>
        </is>
      </c>
      <c r="C20" s="11" t="inlineStr">
        <is>
          <t>Every assumption. Scenario switch in cell D5 drives the whole model.</t>
        </is>
      </c>
    </row>
    <row r="21">
      <c r="B21" s="5" t="inlineStr">
        <is>
          <t>Rev-Capacity</t>
        </is>
      </c>
      <c r="C21" s="11" t="inlineStr">
        <is>
          <t>AE hiring, ramp, attrition, productive capacity, new bookings. Self serve.</t>
        </is>
      </c>
    </row>
    <row r="22">
      <c r="B22" s="5" t="inlineStr">
        <is>
          <t>Rev-Cohorts</t>
        </is>
      </c>
      <c r="C22" s="11" t="inlineStr">
        <is>
          <t>Dollar cohort triangle. Renewal events, expansion, churn.</t>
        </is>
      </c>
    </row>
    <row r="23">
      <c r="B23" s="5" t="inlineStr">
        <is>
          <t>Rev-ARR Bridge</t>
        </is>
      </c>
      <c r="C23" s="11" t="inlineStr">
        <is>
          <t>Beginning plus new plus expansion less churn. Agents and self serve.</t>
        </is>
      </c>
    </row>
    <row r="24">
      <c r="B24" s="5" t="inlineStr">
        <is>
          <t>Headcount</t>
        </is>
      </c>
      <c r="C24" s="11" t="inlineStr">
        <is>
          <t>Roster by function, hiring, attrition, payroll, stock compensation.</t>
        </is>
      </c>
    </row>
    <row r="25">
      <c r="B25" s="5" t="inlineStr">
        <is>
          <t>P&amp;L</t>
        </is>
      </c>
      <c r="C25" s="11" t="inlineStr">
        <is>
          <t>Revenue recognition, volume driven cost of revenue, operating expense, EBITDA.</t>
        </is>
      </c>
    </row>
    <row r="26">
      <c r="B26" s="5" t="inlineStr">
        <is>
          <t>Cash Flow</t>
        </is>
      </c>
      <c r="C26" s="11" t="inlineStr">
        <is>
          <t>Billings, deferred revenue, working capital, capital expenditure, cash roll.</t>
        </is>
      </c>
    </row>
    <row r="27">
      <c r="B27" s="5" t="inlineStr">
        <is>
          <t>KPIs</t>
        </is>
      </c>
      <c r="C27" s="11" t="inlineStr">
        <is>
          <t>Computed outputs against benchmark. Runway and raise decision date.</t>
        </is>
      </c>
    </row>
    <row r="28">
      <c r="B28" s="5" t="inlineStr">
        <is>
          <t>Scenarios</t>
        </is>
      </c>
      <c r="C28" s="11" t="inlineStr">
        <is>
          <t>Five cases. Base, upside, downside, downside with hiring freeze, Agents led.</t>
        </is>
      </c>
    </row>
    <row r="29">
      <c r="B29" s="5" t="inlineStr">
        <is>
          <t>Checks</t>
        </is>
      </c>
      <c r="C29" s="11" t="inlineStr">
        <is>
          <t>Live reconciliations. Everything should read OK.</t>
        </is>
      </c>
    </row>
  </sheetData>
  <pageMargins left="0.75" right="0.75" top="1" bottom="1" header="0.5" footer="0.5"/>
</worksheet>
</file>

<file path=xl/worksheets/sheet2.xml><?xml version="1.0" encoding="utf-8"?>
<worksheet xmlns="http://schemas.openxmlformats.org/spreadsheetml/2006/main">
  <sheetPr>
    <tabColor rgb="FFC00000"/>
    <outlinePr summaryBelow="1" summaryRight="1"/>
    <pageSetUpPr/>
  </sheetPr>
  <dimension ref="A1:J21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52" customWidth="1" min="2" max="2"/>
    <col width="10" customWidth="1" min="3" max="3"/>
    <col width="14" customWidth="1" min="4" max="8"/>
    <col width="3" customWidth="1" min="9" max="9"/>
    <col width="60" customWidth="1" min="10" max="10"/>
    <col width="11.5" customWidth="1" min="11" max="63"/>
    <col width="2.5" customWidth="1" min="64" max="64"/>
    <col width="13" customWidth="1" min="65" max="69"/>
  </cols>
  <sheetData>
    <row r="1"/>
    <row r="2" ht="19" customHeight="1">
      <c r="B2" s="12" t="inlineStr">
        <is>
          <t>Inputs</t>
        </is>
      </c>
    </row>
    <row r="3"/>
    <row r="4"/>
    <row r="5">
      <c r="B5" s="13" t="inlineStr">
        <is>
          <t>SCENARIO SWITCH</t>
        </is>
      </c>
      <c r="C5" s="4" t="n"/>
      <c r="D5" s="14" t="n">
        <v>1</v>
      </c>
      <c r="E5" s="86">
        <f>INDEX({"Base";"Upside";"Downside";"Agents-Led";"Downside + Freeze"},$D$5,1)</f>
        <v/>
      </c>
      <c r="F5" s="15" t="inlineStr">
        <is>
          <t>1=Base 2=Upside 3=Downside 4=Downside+Freeze 5=Agents-Led</t>
        </is>
      </c>
      <c r="G5" s="4" t="n"/>
      <c r="H5" s="4" t="n"/>
    </row>
    <row r="6"/>
    <row r="7">
      <c r="B7" s="16" t="n"/>
      <c r="D7" s="17" t="n">
        <v>2026</v>
      </c>
      <c r="E7" s="17" t="n">
        <v>2027</v>
      </c>
      <c r="F7" s="17" t="n">
        <v>2028</v>
      </c>
      <c r="G7" s="17" t="n">
        <v>2029</v>
      </c>
      <c r="H7" s="17" t="n">
        <v>2030</v>
      </c>
    </row>
    <row r="8">
      <c r="B8" s="3" t="inlineStr">
        <is>
          <t>GIVEN</t>
        </is>
      </c>
      <c r="C8" s="4" t="n"/>
      <c r="D8" s="4" t="n"/>
      <c r="E8" s="4" t="n"/>
      <c r="F8" s="4" t="n"/>
      <c r="G8" s="4" t="n"/>
      <c r="H8" s="4" t="n"/>
    </row>
    <row r="9">
      <c r="B9" s="18" t="inlineStr">
        <is>
          <t>Opening ARR at 1 Jan 2026</t>
        </is>
      </c>
      <c r="C9" s="19" t="inlineStr">
        <is>
          <t>$</t>
        </is>
      </c>
      <c r="D9" s="20" t="n">
        <v>55000000</v>
      </c>
      <c r="J9" s="16" t="inlineStr">
        <is>
          <t>Given. Interpreted as ending contracted ARR.</t>
        </is>
      </c>
    </row>
    <row r="10">
      <c r="B10" s="18" t="inlineStr">
        <is>
          <t>Opening cash</t>
        </is>
      </c>
      <c r="C10" s="19" t="inlineStr">
        <is>
          <t>$</t>
        </is>
      </c>
      <c r="D10" s="20" t="n">
        <v>110000000</v>
      </c>
      <c r="J10" s="16" t="inlineStr">
        <is>
          <t>Given. Assumed post Series C. No further financing in base case.</t>
        </is>
      </c>
    </row>
    <row r="11">
      <c r="B11" s="18" t="inlineStr">
        <is>
          <t>Opening headcount</t>
        </is>
      </c>
      <c r="C11" s="19" t="inlineStr">
        <is>
          <t>#</t>
        </is>
      </c>
      <c r="D11" s="21" t="n">
        <v>250</v>
      </c>
      <c r="J11" s="16" t="inlineStr">
        <is>
          <t>Given.</t>
        </is>
      </c>
    </row>
    <row r="12">
      <c r="B12" s="18" t="inlineStr">
        <is>
          <t>Minimum cash balance</t>
        </is>
      </c>
      <c r="C12" s="19" t="inlineStr">
        <is>
          <t>$</t>
        </is>
      </c>
      <c r="D12" s="20" t="n">
        <v>25000000</v>
      </c>
      <c r="J12" s="16" t="inlineStr">
        <is>
          <t>Given. Board operating floor, not zero. Usable cash is $85M.</t>
        </is>
      </c>
    </row>
    <row r="13"/>
    <row r="14">
      <c r="B14" s="3" t="inlineStr">
        <is>
          <t>OPENING BASE</t>
        </is>
      </c>
      <c r="C14" s="4" t="n"/>
      <c r="D14" s="4" t="n"/>
      <c r="E14" s="4" t="n"/>
      <c r="F14" s="4" t="n"/>
      <c r="G14" s="4" t="n"/>
      <c r="H14" s="4" t="n"/>
    </row>
    <row r="15">
      <c r="B15" s="18" t="inlineStr">
        <is>
          <t>Enterprise ARR</t>
        </is>
      </c>
      <c r="C15" s="19" t="inlineStr">
        <is>
          <t>$</t>
        </is>
      </c>
      <c r="D15" s="20" t="n">
        <v>53500000</v>
      </c>
      <c r="J15" s="16" t="inlineStr">
        <is>
          <t>Ties to given total with self serve below.</t>
        </is>
      </c>
    </row>
    <row r="16">
      <c r="B16" s="18" t="inlineStr">
        <is>
          <t>Enterprise customers</t>
        </is>
      </c>
      <c r="C16" s="19" t="inlineStr">
        <is>
          <t>#</t>
        </is>
      </c>
      <c r="D16" s="21" t="n">
        <v>700</v>
      </c>
      <c r="J16" s="16" t="inlineStr">
        <is>
          <t>Public: 700+ enterprise customers. Source: Fortune, February 2026: 700+ enterprise customers at the Series C.</t>
        </is>
      </c>
    </row>
    <row r="17">
      <c r="B17" s="18" t="inlineStr">
        <is>
          <t>Self serve ARR</t>
        </is>
      </c>
      <c r="C17" s="19" t="inlineStr">
        <is>
          <t>$</t>
        </is>
      </c>
      <c r="D17" s="20" t="n">
        <v>1500000</v>
      </c>
    </row>
    <row r="18">
      <c r="B18" s="18" t="inlineStr">
        <is>
          <t>Self serve customers</t>
        </is>
      </c>
      <c r="C18" s="19" t="inlineStr">
        <is>
          <t>#</t>
        </is>
      </c>
      <c r="D18" s="21" t="n">
        <v>500</v>
      </c>
      <c r="J18" s="16" t="inlineStr">
        <is>
          <t>Published tiers: $99 and $399 per month.</t>
        </is>
      </c>
    </row>
    <row r="19"/>
    <row r="20">
      <c r="B20" s="3" t="inlineStr">
        <is>
          <t>SALES CAPACITY</t>
        </is>
      </c>
      <c r="C20" s="4" t="n"/>
      <c r="D20" s="4" t="n"/>
      <c r="E20" s="4" t="n"/>
      <c r="F20" s="4" t="n"/>
      <c r="G20" s="4" t="n"/>
      <c r="H20" s="4" t="n"/>
    </row>
    <row r="21">
      <c r="B21" s="18" t="inlineStr">
        <is>
          <t>Opening quota carrying AEs</t>
        </is>
      </c>
      <c r="C21" s="19" t="inlineStr">
        <is>
          <t>#</t>
        </is>
      </c>
      <c r="D21" s="21" t="n">
        <v>30</v>
      </c>
    </row>
    <row r="22">
      <c r="B22" s="18" t="inlineStr">
        <is>
          <t>AE annual quota, fully ramped</t>
        </is>
      </c>
      <c r="C22" s="19" t="inlineStr">
        <is>
          <t>$</t>
        </is>
      </c>
      <c r="D22" s="20" t="n">
        <v>1300000</v>
      </c>
      <c r="J22" s="16" t="inlineStr">
        <is>
          <t>Benchmark commercial band $0.9M to $1.4M.</t>
        </is>
      </c>
    </row>
    <row r="23">
      <c r="B23" s="18" t="inlineStr">
        <is>
          <t>Quota growth per year</t>
        </is>
      </c>
      <c r="C23" s="19" t="inlineStr">
        <is>
          <t>%</t>
        </is>
      </c>
      <c r="D23" s="22" t="n">
        <v>-0.05</v>
      </c>
      <c r="J23" s="16" t="inlineStr">
        <is>
          <t>Negative. Territories thin as the org scales.</t>
        </is>
      </c>
    </row>
    <row r="24">
      <c r="B24" s="23" t="n"/>
      <c r="J24" s="23" t="inlineStr">
        <is>
          <t>Ramp lengthens from four months to five as ACV climbs and Agents makes it a two product sale.</t>
        </is>
      </c>
    </row>
    <row r="25">
      <c r="B25" s="18" t="inlineStr">
        <is>
          <t>Ramp productivity, month 1</t>
        </is>
      </c>
      <c r="C25" s="19" t="inlineStr">
        <is>
          <t>%</t>
        </is>
      </c>
      <c r="D25" s="24" t="n">
        <v>0.25</v>
      </c>
      <c r="E25" s="24" t="n">
        <v>0.25</v>
      </c>
      <c r="F25" s="24" t="n">
        <v>0.2</v>
      </c>
      <c r="G25" s="24" t="n">
        <v>0.2</v>
      </c>
      <c r="H25" s="24" t="n">
        <v>0.2</v>
      </c>
    </row>
    <row r="26">
      <c r="B26" s="18" t="inlineStr">
        <is>
          <t>Ramp productivity, month 2</t>
        </is>
      </c>
      <c r="C26" s="19" t="inlineStr">
        <is>
          <t>%</t>
        </is>
      </c>
      <c r="D26" s="24" t="n">
        <v>0.5</v>
      </c>
      <c r="E26" s="24" t="n">
        <v>0.5</v>
      </c>
      <c r="F26" s="24" t="n">
        <v>0.4</v>
      </c>
      <c r="G26" s="24" t="n">
        <v>0.4</v>
      </c>
      <c r="H26" s="24" t="n">
        <v>0.4</v>
      </c>
    </row>
    <row r="27">
      <c r="B27" s="18" t="inlineStr">
        <is>
          <t>Ramp productivity, month 3</t>
        </is>
      </c>
      <c r="C27" s="19" t="inlineStr">
        <is>
          <t>%</t>
        </is>
      </c>
      <c r="D27" s="24" t="n">
        <v>0.75</v>
      </c>
      <c r="E27" s="24" t="n">
        <v>0.75</v>
      </c>
      <c r="F27" s="24" t="n">
        <v>0.6</v>
      </c>
      <c r="G27" s="24" t="n">
        <v>0.6</v>
      </c>
      <c r="H27" s="24" t="n">
        <v>0.6</v>
      </c>
    </row>
    <row r="28">
      <c r="B28" s="18" t="inlineStr">
        <is>
          <t>Ramp productivity, month 4</t>
        </is>
      </c>
      <c r="C28" s="19" t="inlineStr">
        <is>
          <t>%</t>
        </is>
      </c>
      <c r="D28" s="24" t="n">
        <v>1</v>
      </c>
      <c r="E28" s="24" t="n">
        <v>1</v>
      </c>
      <c r="F28" s="24" t="n">
        <v>0.8</v>
      </c>
      <c r="G28" s="24" t="n">
        <v>0.8</v>
      </c>
      <c r="H28" s="24" t="n">
        <v>0.8</v>
      </c>
    </row>
    <row r="29">
      <c r="B29" s="18" t="inlineStr">
        <is>
          <t>Ramp productivity, month 5</t>
        </is>
      </c>
      <c r="C29" s="19" t="inlineStr">
        <is>
          <t>%</t>
        </is>
      </c>
      <c r="D29" s="24" t="n">
        <v>1</v>
      </c>
      <c r="E29" s="24" t="n">
        <v>1</v>
      </c>
      <c r="F29" s="24" t="n">
        <v>1</v>
      </c>
      <c r="G29" s="24" t="n">
        <v>1</v>
      </c>
      <c r="H29" s="24" t="n">
        <v>1</v>
      </c>
    </row>
    <row r="30">
      <c r="B30" s="18" t="inlineStr">
        <is>
          <t>Time to hire, months</t>
        </is>
      </c>
      <c r="C30" s="19" t="inlineStr">
        <is>
          <t>#</t>
        </is>
      </c>
      <c r="D30" s="21" t="n">
        <v>2</v>
      </c>
      <c r="J30" s="16" t="inlineStr">
        <is>
          <t>Benchmark 6 to 10 weeks.</t>
        </is>
      </c>
    </row>
    <row r="31">
      <c r="B31" s="18" t="inlineStr">
        <is>
          <t>SDRs per AE</t>
        </is>
      </c>
      <c r="C31" s="19" t="inlineStr">
        <is>
          <t>x</t>
        </is>
      </c>
      <c r="D31" s="25" t="n">
        <v>0.8</v>
      </c>
    </row>
    <row r="32">
      <c r="B32" s="18" t="inlineStr">
        <is>
          <t>Marketing per AE</t>
        </is>
      </c>
      <c r="C32" s="19" t="inlineStr">
        <is>
          <t>x</t>
        </is>
      </c>
      <c r="D32" s="25" t="n">
        <v>0.45</v>
      </c>
    </row>
    <row r="33">
      <c r="B33" s="18" t="inlineStr">
        <is>
          <t>Sales ops per AE</t>
        </is>
      </c>
      <c r="C33" s="19" t="inlineStr">
        <is>
          <t>x</t>
        </is>
      </c>
      <c r="D33" s="25" t="n">
        <v>0.3</v>
      </c>
    </row>
    <row r="34">
      <c r="B34" s="18" t="inlineStr">
        <is>
          <t>Enablement per AE</t>
        </is>
      </c>
      <c r="C34" s="19" t="inlineStr">
        <is>
          <t>x</t>
        </is>
      </c>
      <c r="D34" s="25" t="n">
        <v>0.05</v>
      </c>
      <c r="J34" s="16" t="inlineStr">
        <is>
          <t>Explicit enablement investment holding ramp at the short end.</t>
        </is>
      </c>
    </row>
    <row r="35"/>
    <row r="36">
      <c r="B36" s="26" t="inlineStr">
        <is>
          <t>Quota attainment</t>
        </is>
      </c>
      <c r="C36" s="27" t="n"/>
      <c r="D36" s="27" t="n"/>
      <c r="E36" s="27" t="n"/>
      <c r="F36" s="27" t="n"/>
      <c r="G36" s="27" t="n"/>
      <c r="H36" s="27" t="n"/>
    </row>
    <row r="37">
      <c r="B37" s="18" t="inlineStr">
        <is>
          <t xml:space="preserve">    Base</t>
        </is>
      </c>
      <c r="C37" s="19" t="inlineStr">
        <is>
          <t>%</t>
        </is>
      </c>
      <c r="D37" s="24" t="n">
        <v>0.78</v>
      </c>
      <c r="E37" s="24" t="n">
        <v>0.78</v>
      </c>
      <c r="F37" s="24" t="n">
        <v>0.78</v>
      </c>
      <c r="G37" s="24" t="n">
        <v>0.78</v>
      </c>
      <c r="H37" s="24" t="n">
        <v>0.78</v>
      </c>
    </row>
    <row r="38">
      <c r="B38" s="28" t="inlineStr">
        <is>
          <t xml:space="preserve">    Upside</t>
        </is>
      </c>
      <c r="C38" s="19" t="inlineStr">
        <is>
          <t>%</t>
        </is>
      </c>
      <c r="D38" s="24" t="n">
        <v>0.85</v>
      </c>
      <c r="E38" s="24" t="n">
        <v>0.85</v>
      </c>
      <c r="F38" s="24" t="n">
        <v>0.85</v>
      </c>
      <c r="G38" s="24" t="n">
        <v>0.85</v>
      </c>
      <c r="H38" s="24" t="n">
        <v>0.85</v>
      </c>
    </row>
    <row r="39">
      <c r="B39" s="28" t="inlineStr">
        <is>
          <t xml:space="preserve">    Downside</t>
        </is>
      </c>
      <c r="C39" s="19" t="inlineStr">
        <is>
          <t>%</t>
        </is>
      </c>
      <c r="D39" s="24" t="n">
        <v>0.74</v>
      </c>
      <c r="E39" s="24" t="n">
        <v>0.74</v>
      </c>
      <c r="F39" s="24" t="n">
        <v>0.74</v>
      </c>
      <c r="G39" s="24" t="n">
        <v>0.74</v>
      </c>
      <c r="H39" s="24" t="n">
        <v>0.74</v>
      </c>
    </row>
    <row r="40">
      <c r="B40" s="28" t="inlineStr">
        <is>
          <t xml:space="preserve">    Agents-Led</t>
        </is>
      </c>
      <c r="C40" s="19" t="inlineStr">
        <is>
          <t>%</t>
        </is>
      </c>
      <c r="D40" s="24" t="n">
        <v>0.78</v>
      </c>
      <c r="E40" s="24" t="n">
        <v>0.78</v>
      </c>
      <c r="F40" s="24" t="n">
        <v>0.78</v>
      </c>
      <c r="G40" s="24" t="n">
        <v>0.78</v>
      </c>
      <c r="H40" s="24" t="n">
        <v>0.78</v>
      </c>
    </row>
    <row r="41">
      <c r="B41" s="28" t="inlineStr">
        <is>
          <t xml:space="preserve">    Downside + Freeze</t>
        </is>
      </c>
      <c r="C41" s="19" t="inlineStr">
        <is>
          <t>%</t>
        </is>
      </c>
      <c r="D41" s="24" t="n">
        <v>0.74</v>
      </c>
      <c r="E41" s="24" t="n">
        <v>0.74</v>
      </c>
      <c r="F41" s="24" t="n">
        <v>0.74</v>
      </c>
      <c r="G41" s="24" t="n">
        <v>0.74</v>
      </c>
      <c r="H41" s="24" t="n">
        <v>0.74</v>
      </c>
    </row>
    <row r="42">
      <c r="B42" s="29" t="inlineStr">
        <is>
          <t xml:space="preserve">    Active</t>
        </is>
      </c>
      <c r="C42" s="19" t="inlineStr">
        <is>
          <t>%</t>
        </is>
      </c>
      <c r="D42" s="30">
        <f>INDEX($D$37:$H$41,$D$5,1)</f>
        <v/>
      </c>
      <c r="E42" s="30">
        <f>INDEX($D$37:$H$41,$D$5,2)</f>
        <v/>
      </c>
      <c r="F42" s="30">
        <f>INDEX($D$37:$H$41,$D$5,3)</f>
        <v/>
      </c>
      <c r="G42" s="30">
        <f>INDEX($D$37:$H$41,$D$5,4)</f>
        <v/>
      </c>
      <c r="H42" s="30">
        <f>INDEX($D$37:$H$41,$D$5,5)</f>
        <v/>
      </c>
      <c r="J42" s="16" t="inlineStr">
        <is>
          <t>Benchmark 70% median, 80% top quartile.</t>
        </is>
      </c>
    </row>
    <row r="43"/>
    <row r="44">
      <c r="B44" s="26" t="inlineStr">
        <is>
          <t>AE hires per month</t>
        </is>
      </c>
      <c r="C44" s="27" t="n"/>
      <c r="D44" s="27" t="n"/>
      <c r="E44" s="27" t="n"/>
      <c r="F44" s="27" t="n"/>
      <c r="G44" s="27" t="n"/>
      <c r="H44" s="27" t="n"/>
    </row>
    <row r="45">
      <c r="B45" s="18" t="inlineStr">
        <is>
          <t xml:space="preserve">    Base</t>
        </is>
      </c>
      <c r="C45" s="19" t="inlineStr">
        <is>
          <t>#</t>
        </is>
      </c>
      <c r="D45" s="31" t="n">
        <v>2.2</v>
      </c>
      <c r="E45" s="31" t="n">
        <v>2.6</v>
      </c>
      <c r="F45" s="31" t="n">
        <v>2.8</v>
      </c>
      <c r="G45" s="31" t="n">
        <v>2.6</v>
      </c>
      <c r="H45" s="31" t="n">
        <v>2.2</v>
      </c>
    </row>
    <row r="46">
      <c r="B46" s="28" t="inlineStr">
        <is>
          <t xml:space="preserve">    Upside</t>
        </is>
      </c>
      <c r="C46" s="19" t="inlineStr">
        <is>
          <t>#</t>
        </is>
      </c>
      <c r="D46" s="31" t="n">
        <v>4</v>
      </c>
      <c r="E46" s="31" t="n">
        <v>5.2</v>
      </c>
      <c r="F46" s="31" t="n">
        <v>5.8</v>
      </c>
      <c r="G46" s="31" t="n">
        <v>5.8</v>
      </c>
      <c r="H46" s="31" t="n">
        <v>5.2</v>
      </c>
    </row>
    <row r="47">
      <c r="B47" s="28" t="inlineStr">
        <is>
          <t xml:space="preserve">    Downside</t>
        </is>
      </c>
      <c r="C47" s="19" t="inlineStr">
        <is>
          <t>#</t>
        </is>
      </c>
      <c r="D47" s="31" t="n">
        <v>2.2</v>
      </c>
      <c r="E47" s="31" t="n">
        <v>2.6</v>
      </c>
      <c r="F47" s="31" t="n">
        <v>2.8</v>
      </c>
      <c r="G47" s="31" t="n">
        <v>2.6</v>
      </c>
      <c r="H47" s="31" t="n">
        <v>2.2</v>
      </c>
    </row>
    <row r="48">
      <c r="B48" s="28" t="inlineStr">
        <is>
          <t xml:space="preserve">    Agents-Led</t>
        </is>
      </c>
      <c r="C48" s="19" t="inlineStr">
        <is>
          <t>#</t>
        </is>
      </c>
      <c r="D48" s="31" t="n">
        <v>2.2</v>
      </c>
      <c r="E48" s="31" t="n">
        <v>2.6</v>
      </c>
      <c r="F48" s="31" t="n">
        <v>2.8</v>
      </c>
      <c r="G48" s="31" t="n">
        <v>2.6</v>
      </c>
      <c r="H48" s="31" t="n">
        <v>2.2</v>
      </c>
    </row>
    <row r="49">
      <c r="B49" s="28" t="inlineStr">
        <is>
          <t xml:space="preserve">    Downside + Freeze</t>
        </is>
      </c>
      <c r="C49" s="19" t="inlineStr">
        <is>
          <t>#</t>
        </is>
      </c>
      <c r="D49" s="31" t="n">
        <v>2.2</v>
      </c>
      <c r="E49" s="31" t="n">
        <v>1</v>
      </c>
      <c r="F49" s="31" t="n">
        <v>0.8</v>
      </c>
      <c r="G49" s="31" t="n">
        <v>0.8</v>
      </c>
      <c r="H49" s="31" t="n">
        <v>0.8</v>
      </c>
    </row>
    <row r="50">
      <c r="B50" s="29" t="inlineStr">
        <is>
          <t xml:space="preserve">    Active</t>
        </is>
      </c>
      <c r="C50" s="19" t="inlineStr">
        <is>
          <t>#</t>
        </is>
      </c>
      <c r="D50" s="32">
        <f>INDEX($D$45:$H$49,$D$5,1)</f>
        <v/>
      </c>
      <c r="E50" s="32">
        <f>INDEX($D$45:$H$49,$D$5,2)</f>
        <v/>
      </c>
      <c r="F50" s="32">
        <f>INDEX($D$45:$H$49,$D$5,3)</f>
        <v/>
      </c>
      <c r="G50" s="32">
        <f>INDEX($D$45:$H$49,$D$5,4)</f>
        <v/>
      </c>
      <c r="H50" s="32">
        <f>INDEX($D$45:$H$49,$D$5,5)</f>
        <v/>
      </c>
    </row>
    <row r="51"/>
    <row r="52">
      <c r="B52" s="3" t="inlineStr">
        <is>
          <t>RETENTION AND EXPANSION</t>
        </is>
      </c>
      <c r="C52" s="4" t="n"/>
      <c r="D52" s="4" t="n"/>
      <c r="E52" s="4" t="n"/>
      <c r="F52" s="4" t="n"/>
      <c r="G52" s="4" t="n"/>
      <c r="H52" s="4" t="n"/>
    </row>
    <row r="53">
      <c r="B53" s="26" t="inlineStr">
        <is>
          <t>First renewal dollar survival</t>
        </is>
      </c>
      <c r="C53" s="27" t="n"/>
      <c r="D53" s="27" t="n"/>
      <c r="E53" s="27" t="n"/>
      <c r="F53" s="27" t="n"/>
      <c r="G53" s="27" t="n"/>
      <c r="H53" s="27" t="n"/>
    </row>
    <row r="54">
      <c r="B54" s="18" t="inlineStr">
        <is>
          <t xml:space="preserve">    Base</t>
        </is>
      </c>
      <c r="C54" s="19" t="inlineStr">
        <is>
          <t>%</t>
        </is>
      </c>
      <c r="D54" s="22" t="n">
        <v>0.92</v>
      </c>
      <c r="E54" s="22" t="n">
        <v>0.92</v>
      </c>
      <c r="F54" s="22" t="n">
        <v>0.92</v>
      </c>
      <c r="G54" s="22" t="n">
        <v>0.92</v>
      </c>
      <c r="H54" s="22" t="n">
        <v>0.92</v>
      </c>
    </row>
    <row r="55">
      <c r="B55" s="28" t="inlineStr">
        <is>
          <t xml:space="preserve">    Upside</t>
        </is>
      </c>
      <c r="C55" s="19" t="inlineStr">
        <is>
          <t>%</t>
        </is>
      </c>
      <c r="D55" s="22" t="n">
        <v>0.9399999999999999</v>
      </c>
      <c r="E55" s="22" t="n">
        <v>0.9399999999999999</v>
      </c>
      <c r="F55" s="22" t="n">
        <v>0.9399999999999999</v>
      </c>
      <c r="G55" s="22" t="n">
        <v>0.9399999999999999</v>
      </c>
      <c r="H55" s="22" t="n">
        <v>0.9399999999999999</v>
      </c>
    </row>
    <row r="56">
      <c r="B56" s="28" t="inlineStr">
        <is>
          <t xml:space="preserve">    Downside</t>
        </is>
      </c>
      <c r="C56" s="19" t="inlineStr">
        <is>
          <t>%</t>
        </is>
      </c>
      <c r="D56" s="22" t="n">
        <v>0.885</v>
      </c>
      <c r="E56" s="22" t="n">
        <v>0.885</v>
      </c>
      <c r="F56" s="22" t="n">
        <v>0.885</v>
      </c>
      <c r="G56" s="22" t="n">
        <v>0.885</v>
      </c>
      <c r="H56" s="22" t="n">
        <v>0.885</v>
      </c>
    </row>
    <row r="57">
      <c r="B57" s="28" t="inlineStr">
        <is>
          <t xml:space="preserve">    Agents-Led</t>
        </is>
      </c>
      <c r="C57" s="19" t="inlineStr">
        <is>
          <t>%</t>
        </is>
      </c>
      <c r="D57" s="22" t="n">
        <v>0.92</v>
      </c>
      <c r="E57" s="22" t="n">
        <v>0.92</v>
      </c>
      <c r="F57" s="22" t="n">
        <v>0.92</v>
      </c>
      <c r="G57" s="22" t="n">
        <v>0.92</v>
      </c>
      <c r="H57" s="22" t="n">
        <v>0.92</v>
      </c>
    </row>
    <row r="58">
      <c r="B58" s="28" t="inlineStr">
        <is>
          <t xml:space="preserve">    Downside + Freeze</t>
        </is>
      </c>
      <c r="C58" s="19" t="inlineStr">
        <is>
          <t>%</t>
        </is>
      </c>
      <c r="D58" s="22" t="n">
        <v>0.885</v>
      </c>
      <c r="E58" s="22" t="n">
        <v>0.885</v>
      </c>
      <c r="F58" s="22" t="n">
        <v>0.885</v>
      </c>
      <c r="G58" s="22" t="n">
        <v>0.885</v>
      </c>
      <c r="H58" s="22" t="n">
        <v>0.885</v>
      </c>
    </row>
    <row r="59">
      <c r="B59" s="29" t="inlineStr">
        <is>
          <t xml:space="preserve">    Active</t>
        </is>
      </c>
      <c r="C59" s="19" t="inlineStr">
        <is>
          <t>%</t>
        </is>
      </c>
      <c r="D59" s="33">
        <f>INDEX($D$54:$H$58,$D$5,1)</f>
        <v/>
      </c>
      <c r="E59" s="33">
        <f>INDEX($D$54:$H$58,$D$5,2)</f>
        <v/>
      </c>
      <c r="F59" s="33">
        <f>INDEX($D$54:$H$58,$D$5,3)</f>
        <v/>
      </c>
      <c r="G59" s="33">
        <f>INDEX($D$54:$H$58,$D$5,4)</f>
        <v/>
      </c>
      <c r="H59" s="33">
        <f>INDEX($D$54:$H$58,$D$5,5)</f>
        <v/>
      </c>
      <c r="J59" s="16" t="inlineStr">
        <is>
          <t>Least proven number in the business. Nothing in the base has renewed yet.</t>
        </is>
      </c>
    </row>
    <row r="60"/>
    <row r="61">
      <c r="B61" s="18" t="inlineStr">
        <is>
          <t>Later renewal dollar survival</t>
        </is>
      </c>
      <c r="C61" s="19" t="inlineStr">
        <is>
          <t>%</t>
        </is>
      </c>
      <c r="D61" s="22" t="n">
        <v>0.95</v>
      </c>
      <c r="E61" s="22" t="n">
        <v>0.95</v>
      </c>
      <c r="F61" s="22" t="n">
        <v>0.955</v>
      </c>
      <c r="G61" s="22" t="n">
        <v>0.96</v>
      </c>
      <c r="H61" s="22" t="n">
        <v>0.96</v>
      </c>
    </row>
    <row r="62">
      <c r="B62" s="18" t="inlineStr">
        <is>
          <t>In contract churn per year</t>
        </is>
      </c>
      <c r="C62" s="19" t="inlineStr">
        <is>
          <t>%</t>
        </is>
      </c>
      <c r="D62" s="22" t="n">
        <v>0.005</v>
      </c>
      <c r="J62" s="16" t="inlineStr">
        <is>
          <t>Low by design. Annual terms concentrate churn at renewal.</t>
        </is>
      </c>
    </row>
    <row r="63">
      <c r="B63" s="26" t="inlineStr">
        <is>
          <t>Seat and usage expansion per year</t>
        </is>
      </c>
      <c r="C63" s="27" t="n"/>
      <c r="D63" s="27" t="n"/>
      <c r="E63" s="27" t="n"/>
      <c r="F63" s="27" t="n"/>
      <c r="G63" s="27" t="n"/>
      <c r="H63" s="27" t="n"/>
    </row>
    <row r="64">
      <c r="B64" s="18" t="inlineStr">
        <is>
          <t xml:space="preserve">    Base</t>
        </is>
      </c>
      <c r="C64" s="19" t="inlineStr">
        <is>
          <t>%</t>
        </is>
      </c>
      <c r="D64" s="22" t="n">
        <v>0.22</v>
      </c>
      <c r="E64" s="22" t="n">
        <v>0.16</v>
      </c>
      <c r="F64" s="22" t="n">
        <v>0.1</v>
      </c>
      <c r="G64" s="22" t="n">
        <v>0.065</v>
      </c>
      <c r="H64" s="22" t="n">
        <v>0.045</v>
      </c>
    </row>
    <row r="65">
      <c r="B65" s="28" t="inlineStr">
        <is>
          <t xml:space="preserve">    Upside</t>
        </is>
      </c>
      <c r="C65" s="19" t="inlineStr">
        <is>
          <t>%</t>
        </is>
      </c>
      <c r="D65" s="22" t="n">
        <v>0.27</v>
      </c>
      <c r="E65" s="22" t="n">
        <v>0.21</v>
      </c>
      <c r="F65" s="22" t="n">
        <v>0.135</v>
      </c>
      <c r="G65" s="22" t="n">
        <v>0.09</v>
      </c>
      <c r="H65" s="22" t="n">
        <v>0.06</v>
      </c>
    </row>
    <row r="66">
      <c r="B66" s="28" t="inlineStr">
        <is>
          <t xml:space="preserve">    Downside</t>
        </is>
      </c>
      <c r="C66" s="19" t="inlineStr">
        <is>
          <t>%</t>
        </is>
      </c>
      <c r="D66" s="22" t="n">
        <v>0.185</v>
      </c>
      <c r="E66" s="22" t="n">
        <v>0.13</v>
      </c>
      <c r="F66" s="22" t="n">
        <v>0.08</v>
      </c>
      <c r="G66" s="22" t="n">
        <v>0.05</v>
      </c>
      <c r="H66" s="22" t="n">
        <v>0.035</v>
      </c>
    </row>
    <row r="67">
      <c r="B67" s="28" t="inlineStr">
        <is>
          <t xml:space="preserve">    Agents-Led</t>
        </is>
      </c>
      <c r="C67" s="19" t="inlineStr">
        <is>
          <t>%</t>
        </is>
      </c>
      <c r="D67" s="22" t="n">
        <v>0.22</v>
      </c>
      <c r="E67" s="22" t="n">
        <v>0.16</v>
      </c>
      <c r="F67" s="22" t="n">
        <v>0.1</v>
      </c>
      <c r="G67" s="22" t="n">
        <v>0.065</v>
      </c>
      <c r="H67" s="22" t="n">
        <v>0.045</v>
      </c>
    </row>
    <row r="68">
      <c r="B68" s="28" t="inlineStr">
        <is>
          <t xml:space="preserve">    Downside + Freeze</t>
        </is>
      </c>
      <c r="C68" s="19" t="inlineStr">
        <is>
          <t>%</t>
        </is>
      </c>
      <c r="D68" s="22" t="n">
        <v>0.185</v>
      </c>
      <c r="E68" s="22" t="n">
        <v>0.13</v>
      </c>
      <c r="F68" s="22" t="n">
        <v>0.08</v>
      </c>
      <c r="G68" s="22" t="n">
        <v>0.05</v>
      </c>
      <c r="H68" s="22" t="n">
        <v>0.035</v>
      </c>
    </row>
    <row r="69">
      <c r="B69" s="29" t="inlineStr">
        <is>
          <t xml:space="preserve">    Active</t>
        </is>
      </c>
      <c r="C69" s="19" t="inlineStr">
        <is>
          <t>%</t>
        </is>
      </c>
      <c r="D69" s="33">
        <f>INDEX($D$64:$H$68,$D$5,1)</f>
        <v/>
      </c>
      <c r="E69" s="33">
        <f>INDEX($D$64:$H$68,$D$5,2)</f>
        <v/>
      </c>
      <c r="F69" s="33">
        <f>INDEX($D$64:$H$68,$D$5,3)</f>
        <v/>
      </c>
      <c r="G69" s="33">
        <f>INDEX($D$64:$H$68,$D$5,4)</f>
        <v/>
      </c>
      <c r="H69" s="33">
        <f>INDEX($D$64:$H$68,$D$5,5)</f>
        <v/>
      </c>
      <c r="J69" s="16" t="inlineStr">
        <is>
          <t>Must decay. Expansion compresses as accounts saturate.</t>
        </is>
      </c>
    </row>
    <row r="70"/>
    <row r="71">
      <c r="B71" s="18" t="inlineStr">
        <is>
          <t>Renewal price uplift</t>
        </is>
      </c>
      <c r="C71" s="19" t="inlineStr">
        <is>
          <t>%</t>
        </is>
      </c>
      <c r="D71" s="22" t="n">
        <v>0.08</v>
      </c>
    </row>
    <row r="72">
      <c r="B72" s="18" t="inlineStr">
        <is>
          <t>Cross sell uplift at renewal</t>
        </is>
      </c>
      <c r="C72" s="19" t="inlineStr">
        <is>
          <t>%</t>
        </is>
      </c>
      <c r="D72" s="22" t="n">
        <v>0.11</v>
      </c>
      <c r="E72" s="22" t="n">
        <v>0.08</v>
      </c>
      <c r="F72" s="22" t="n">
        <v>0.05</v>
      </c>
      <c r="G72" s="22" t="n">
        <v>0.035</v>
      </c>
      <c r="H72" s="22" t="n">
        <v>0.025</v>
      </c>
    </row>
    <row r="73">
      <c r="B73" s="18" t="inlineStr">
        <is>
          <t>Logo churn premium over dollar churn</t>
        </is>
      </c>
      <c r="C73" s="19" t="inlineStr">
        <is>
          <t>%</t>
        </is>
      </c>
      <c r="D73" s="22" t="n">
        <v>0.03</v>
      </c>
      <c r="J73" s="16" t="inlineStr">
        <is>
          <t>Churned accounts are systematically smaller. Reporting view only.</t>
        </is>
      </c>
    </row>
    <row r="74"/>
    <row r="75">
      <c r="B75" s="3" t="inlineStr">
        <is>
          <t>PRICING</t>
        </is>
      </c>
      <c r="C75" s="4" t="n"/>
      <c r="D75" s="4" t="n"/>
      <c r="E75" s="4" t="n"/>
      <c r="F75" s="4" t="n"/>
      <c r="G75" s="4" t="n"/>
      <c r="H75" s="4" t="n"/>
    </row>
    <row r="76">
      <c r="B76" s="18" t="inlineStr">
        <is>
          <t>Enterprise new logo ACV</t>
        </is>
      </c>
      <c r="C76" s="19" t="inlineStr">
        <is>
          <t>$</t>
        </is>
      </c>
      <c r="D76" s="20" t="n">
        <v>76428.57000000001</v>
      </c>
      <c r="J76" s="16" t="inlineStr">
        <is>
          <t>$55.0M given ARR less ~$1.5M self-serve (500 accounts at ~$3.0K blended, per published $99 and $399 monthly tiers), over 700+ enterprise customers</t>
        </is>
      </c>
    </row>
    <row r="77">
      <c r="B77" s="18" t="inlineStr">
        <is>
          <t>Enterprise ACV growth per year</t>
        </is>
      </c>
      <c r="C77" s="19" t="inlineStr">
        <is>
          <t>%</t>
        </is>
      </c>
      <c r="D77" s="22" t="n">
        <v>0.1</v>
      </c>
    </row>
    <row r="78">
      <c r="B78" s="18" t="inlineStr">
        <is>
          <t>Self serve ACV</t>
        </is>
      </c>
      <c r="C78" s="19" t="inlineStr">
        <is>
          <t>$</t>
        </is>
      </c>
      <c r="D78" s="20" t="n">
        <v>3000</v>
      </c>
    </row>
    <row r="79">
      <c r="B79" s="18" t="inlineStr">
        <is>
          <t>Self serve ACV growth per year</t>
        </is>
      </c>
      <c r="C79" s="19" t="inlineStr">
        <is>
          <t>%</t>
        </is>
      </c>
      <c r="D79" s="22" t="n">
        <v>0.05</v>
      </c>
    </row>
    <row r="80"/>
    <row r="81">
      <c r="B81" s="3" t="inlineStr">
        <is>
          <t>SELF SERVE</t>
        </is>
      </c>
      <c r="C81" s="4" t="n"/>
      <c r="D81" s="4" t="n"/>
      <c r="E81" s="4" t="n"/>
      <c r="F81" s="4" t="n"/>
      <c r="G81" s="4" t="n"/>
      <c r="H81" s="4" t="n"/>
    </row>
    <row r="82">
      <c r="B82" s="18" t="inlineStr">
        <is>
          <t>New self serve customers per month</t>
        </is>
      </c>
      <c r="C82" s="19" t="inlineStr">
        <is>
          <t>#</t>
        </is>
      </c>
      <c r="D82" s="31" t="n">
        <v>45</v>
      </c>
    </row>
    <row r="83">
      <c r="B83" s="18" t="inlineStr">
        <is>
          <t>Growth in monthly adds per year</t>
        </is>
      </c>
      <c r="C83" s="19" t="inlineStr">
        <is>
          <t>%</t>
        </is>
      </c>
      <c r="D83" s="22" t="n">
        <v>0.25</v>
      </c>
    </row>
    <row r="84">
      <c r="B84" s="18" t="inlineStr">
        <is>
          <t>Monthly churn</t>
        </is>
      </c>
      <c r="C84" s="19" t="inlineStr">
        <is>
          <t>%</t>
        </is>
      </c>
      <c r="D84" s="22" t="n">
        <v>0.04</v>
      </c>
    </row>
    <row r="85">
      <c r="B85" s="18" t="inlineStr">
        <is>
          <t>Monthly conversion into enterprise</t>
        </is>
      </c>
      <c r="C85" s="19" t="inlineStr">
        <is>
          <t>%</t>
        </is>
      </c>
      <c r="D85" s="22" t="n">
        <v>0.01</v>
      </c>
      <c r="J85" s="16" t="inlineStr">
        <is>
          <t>The strategic value of self serve. Feeds enterprise bookings.</t>
        </is>
      </c>
    </row>
    <row r="86"/>
    <row r="87">
      <c r="B87" s="3" t="inlineStr">
        <is>
          <t>AGENTS</t>
        </is>
      </c>
      <c r="C87" s="4" t="n"/>
      <c r="D87" s="4" t="n"/>
      <c r="E87" s="4" t="n"/>
      <c r="F87" s="4" t="n"/>
      <c r="G87" s="4" t="n"/>
      <c r="H87" s="4" t="n"/>
    </row>
    <row r="88">
      <c r="B88" s="26" t="inlineStr">
        <is>
          <t>Attach rate, share of enterprise customers at year end</t>
        </is>
      </c>
      <c r="C88" s="27" t="n"/>
      <c r="D88" s="27" t="n"/>
      <c r="E88" s="27" t="n"/>
      <c r="F88" s="27" t="n"/>
      <c r="G88" s="27" t="n"/>
      <c r="H88" s="27" t="n"/>
    </row>
    <row r="89">
      <c r="B89" s="18" t="inlineStr">
        <is>
          <t xml:space="preserve">    Base</t>
        </is>
      </c>
      <c r="C89" s="19" t="inlineStr">
        <is>
          <t>%</t>
        </is>
      </c>
      <c r="D89" s="24" t="n">
        <v>0.08</v>
      </c>
      <c r="E89" s="24" t="n">
        <v>0.18</v>
      </c>
      <c r="F89" s="24" t="n">
        <v>0.3</v>
      </c>
      <c r="G89" s="24" t="n">
        <v>0.38</v>
      </c>
      <c r="H89" s="24" t="n">
        <v>0.45</v>
      </c>
    </row>
    <row r="90">
      <c r="B90" s="28" t="inlineStr">
        <is>
          <t xml:space="preserve">    Upside</t>
        </is>
      </c>
      <c r="C90" s="19" t="inlineStr">
        <is>
          <t>%</t>
        </is>
      </c>
      <c r="D90" s="24" t="n">
        <v>0.1</v>
      </c>
      <c r="E90" s="24" t="n">
        <v>0.24</v>
      </c>
      <c r="F90" s="24" t="n">
        <v>0.38</v>
      </c>
      <c r="G90" s="24" t="n">
        <v>0.47</v>
      </c>
      <c r="H90" s="24" t="n">
        <v>0.55</v>
      </c>
    </row>
    <row r="91">
      <c r="B91" s="28" t="inlineStr">
        <is>
          <t xml:space="preserve">    Downside</t>
        </is>
      </c>
      <c r="C91" s="19" t="inlineStr">
        <is>
          <t>%</t>
        </is>
      </c>
      <c r="D91" s="24" t="n">
        <v>0.05</v>
      </c>
      <c r="E91" s="24" t="n">
        <v>0.11</v>
      </c>
      <c r="F91" s="24" t="n">
        <v>0.18</v>
      </c>
      <c r="G91" s="24" t="n">
        <v>0.23</v>
      </c>
      <c r="H91" s="24" t="n">
        <v>0.27</v>
      </c>
    </row>
    <row r="92">
      <c r="B92" s="28" t="inlineStr">
        <is>
          <t xml:space="preserve">    Agents-Led</t>
        </is>
      </c>
      <c r="C92" s="19" t="inlineStr">
        <is>
          <t>%</t>
        </is>
      </c>
      <c r="D92" s="24" t="n">
        <v>0.14</v>
      </c>
      <c r="E92" s="24" t="n">
        <v>0.35</v>
      </c>
      <c r="F92" s="24" t="n">
        <v>0.55</v>
      </c>
      <c r="G92" s="24" t="n">
        <v>0.7</v>
      </c>
      <c r="H92" s="24" t="n">
        <v>0.8</v>
      </c>
    </row>
    <row r="93">
      <c r="B93" s="28" t="inlineStr">
        <is>
          <t xml:space="preserve">    Downside + Freeze</t>
        </is>
      </c>
      <c r="C93" s="19" t="inlineStr">
        <is>
          <t>%</t>
        </is>
      </c>
      <c r="D93" s="24" t="n">
        <v>0.05</v>
      </c>
      <c r="E93" s="24" t="n">
        <v>0.11</v>
      </c>
      <c r="F93" s="24" t="n">
        <v>0.18</v>
      </c>
      <c r="G93" s="24" t="n">
        <v>0.23</v>
      </c>
      <c r="H93" s="24" t="n">
        <v>0.27</v>
      </c>
    </row>
    <row r="94">
      <c r="B94" s="29" t="inlineStr">
        <is>
          <t xml:space="preserve">    Active</t>
        </is>
      </c>
      <c r="C94" s="19" t="inlineStr">
        <is>
          <t>%</t>
        </is>
      </c>
      <c r="D94" s="30">
        <f>INDEX($D$89:$H$93,$D$5,1)</f>
        <v/>
      </c>
      <c r="E94" s="30">
        <f>INDEX($D$89:$H$93,$D$5,2)</f>
        <v/>
      </c>
      <c r="F94" s="30">
        <f>INDEX($D$89:$H$93,$D$5,3)</f>
        <v/>
      </c>
      <c r="G94" s="30">
        <f>INDEX($D$89:$H$93,$D$5,4)</f>
        <v/>
      </c>
      <c r="H94" s="30">
        <f>INDEX($D$89:$H$93,$D$5,5)</f>
        <v/>
      </c>
      <c r="J94" s="16" t="inlineStr">
        <is>
          <t>Biggest swing factor, weakest benchmark.</t>
        </is>
      </c>
    </row>
    <row r="95"/>
    <row r="96">
      <c r="B96" s="26" t="inlineStr">
        <is>
          <t>Agents ACV as share of core ACV</t>
        </is>
      </c>
      <c r="C96" s="27" t="n"/>
      <c r="D96" s="27" t="n"/>
      <c r="E96" s="27" t="n"/>
      <c r="F96" s="27" t="n"/>
      <c r="G96" s="27" t="n"/>
      <c r="H96" s="27" t="n"/>
    </row>
    <row r="97">
      <c r="B97" s="18" t="inlineStr">
        <is>
          <t xml:space="preserve">    Base</t>
        </is>
      </c>
      <c r="C97" s="19" t="inlineStr">
        <is>
          <t>%</t>
        </is>
      </c>
      <c r="D97" s="24" t="n">
        <v>0.45</v>
      </c>
      <c r="E97" s="24" t="n">
        <v>0.45</v>
      </c>
      <c r="F97" s="24" t="n">
        <v>0.45</v>
      </c>
      <c r="G97" s="24" t="n">
        <v>0.45</v>
      </c>
      <c r="H97" s="24" t="n">
        <v>0.45</v>
      </c>
    </row>
    <row r="98">
      <c r="B98" s="28" t="inlineStr">
        <is>
          <t xml:space="preserve">    Upside</t>
        </is>
      </c>
      <c r="C98" s="19" t="inlineStr">
        <is>
          <t>%</t>
        </is>
      </c>
      <c r="D98" s="24" t="n">
        <v>0.45</v>
      </c>
      <c r="E98" s="24" t="n">
        <v>0.45</v>
      </c>
      <c r="F98" s="24" t="n">
        <v>0.45</v>
      </c>
      <c r="G98" s="24" t="n">
        <v>0.45</v>
      </c>
      <c r="H98" s="24" t="n">
        <v>0.45</v>
      </c>
    </row>
    <row r="99">
      <c r="B99" s="28" t="inlineStr">
        <is>
          <t xml:space="preserve">    Downside</t>
        </is>
      </c>
      <c r="C99" s="19" t="inlineStr">
        <is>
          <t>%</t>
        </is>
      </c>
      <c r="D99" s="24" t="n">
        <v>0.45</v>
      </c>
      <c r="E99" s="24" t="n">
        <v>0.45</v>
      </c>
      <c r="F99" s="24" t="n">
        <v>0.45</v>
      </c>
      <c r="G99" s="24" t="n">
        <v>0.45</v>
      </c>
      <c r="H99" s="24" t="n">
        <v>0.45</v>
      </c>
    </row>
    <row r="100">
      <c r="B100" s="28" t="inlineStr">
        <is>
          <t xml:space="preserve">    Agents-Led</t>
        </is>
      </c>
      <c r="C100" s="19" t="inlineStr">
        <is>
          <t>%</t>
        </is>
      </c>
      <c r="D100" s="24" t="n">
        <v>0.8</v>
      </c>
      <c r="E100" s="24" t="n">
        <v>0.8</v>
      </c>
      <c r="F100" s="24" t="n">
        <v>0.8</v>
      </c>
      <c r="G100" s="24" t="n">
        <v>0.8</v>
      </c>
      <c r="H100" s="24" t="n">
        <v>0.8</v>
      </c>
    </row>
    <row r="101">
      <c r="B101" s="28" t="inlineStr">
        <is>
          <t xml:space="preserve">    Downside + Freeze</t>
        </is>
      </c>
      <c r="C101" s="19" t="inlineStr">
        <is>
          <t>%</t>
        </is>
      </c>
      <c r="D101" s="24" t="n">
        <v>0.45</v>
      </c>
      <c r="E101" s="24" t="n">
        <v>0.45</v>
      </c>
      <c r="F101" s="24" t="n">
        <v>0.45</v>
      </c>
      <c r="G101" s="24" t="n">
        <v>0.45</v>
      </c>
      <c r="H101" s="24" t="n">
        <v>0.45</v>
      </c>
    </row>
    <row r="102">
      <c r="B102" s="29" t="inlineStr">
        <is>
          <t xml:space="preserve">    Active</t>
        </is>
      </c>
      <c r="C102" s="19" t="inlineStr">
        <is>
          <t>%</t>
        </is>
      </c>
      <c r="D102" s="30">
        <f>INDEX($D$97:$H$101,$D$5,1)</f>
        <v/>
      </c>
      <c r="E102" s="30">
        <f>INDEX($D$97:$H$101,$D$5,2)</f>
        <v/>
      </c>
      <c r="F102" s="30">
        <f>INDEX($D$97:$H$101,$D$5,3)</f>
        <v/>
      </c>
      <c r="G102" s="30">
        <f>INDEX($D$97:$H$101,$D$5,4)</f>
        <v/>
      </c>
      <c r="H102" s="30">
        <f>INDEX($D$97:$H$101,$D$5,5)</f>
        <v/>
      </c>
    </row>
    <row r="103"/>
    <row r="104">
      <c r="B104" s="26" t="inlineStr">
        <is>
          <t>Agents ACV growth per year</t>
        </is>
      </c>
      <c r="C104" s="27" t="n"/>
      <c r="D104" s="27" t="n"/>
      <c r="E104" s="27" t="n"/>
      <c r="F104" s="27" t="n"/>
      <c r="G104" s="27" t="n"/>
      <c r="H104" s="27" t="n"/>
    </row>
    <row r="105">
      <c r="B105" s="18" t="inlineStr">
        <is>
          <t xml:space="preserve">    Base</t>
        </is>
      </c>
      <c r="C105" s="19" t="inlineStr">
        <is>
          <t>%</t>
        </is>
      </c>
      <c r="D105" s="22" t="n">
        <v>0.12</v>
      </c>
      <c r="E105" s="22" t="n">
        <v>0.12</v>
      </c>
      <c r="F105" s="22" t="n">
        <v>0.12</v>
      </c>
      <c r="G105" s="22" t="n">
        <v>0.12</v>
      </c>
      <c r="H105" s="22" t="n">
        <v>0.12</v>
      </c>
    </row>
    <row r="106">
      <c r="B106" s="28" t="inlineStr">
        <is>
          <t xml:space="preserve">    Upside</t>
        </is>
      </c>
      <c r="C106" s="19" t="inlineStr">
        <is>
          <t>%</t>
        </is>
      </c>
      <c r="D106" s="22" t="n">
        <v>0.12</v>
      </c>
      <c r="E106" s="22" t="n">
        <v>0.12</v>
      </c>
      <c r="F106" s="22" t="n">
        <v>0.12</v>
      </c>
      <c r="G106" s="22" t="n">
        <v>0.12</v>
      </c>
      <c r="H106" s="22" t="n">
        <v>0.12</v>
      </c>
    </row>
    <row r="107">
      <c r="B107" s="28" t="inlineStr">
        <is>
          <t xml:space="preserve">    Downside</t>
        </is>
      </c>
      <c r="C107" s="19" t="inlineStr">
        <is>
          <t>%</t>
        </is>
      </c>
      <c r="D107" s="22" t="n">
        <v>0.12</v>
      </c>
      <c r="E107" s="22" t="n">
        <v>0.12</v>
      </c>
      <c r="F107" s="22" t="n">
        <v>0.12</v>
      </c>
      <c r="G107" s="22" t="n">
        <v>0.12</v>
      </c>
      <c r="H107" s="22" t="n">
        <v>0.12</v>
      </c>
    </row>
    <row r="108">
      <c r="B108" s="28" t="inlineStr">
        <is>
          <t xml:space="preserve">    Agents-Led</t>
        </is>
      </c>
      <c r="C108" s="19" t="inlineStr">
        <is>
          <t>%</t>
        </is>
      </c>
      <c r="D108" s="22" t="n">
        <v>0.18</v>
      </c>
      <c r="E108" s="22" t="n">
        <v>0.18</v>
      </c>
      <c r="F108" s="22" t="n">
        <v>0.18</v>
      </c>
      <c r="G108" s="22" t="n">
        <v>0.18</v>
      </c>
      <c r="H108" s="22" t="n">
        <v>0.18</v>
      </c>
    </row>
    <row r="109">
      <c r="B109" s="28" t="inlineStr">
        <is>
          <t xml:space="preserve">    Downside + Freeze</t>
        </is>
      </c>
      <c r="C109" s="19" t="inlineStr">
        <is>
          <t>%</t>
        </is>
      </c>
      <c r="D109" s="22" t="n">
        <v>0.12</v>
      </c>
      <c r="E109" s="22" t="n">
        <v>0.12</v>
      </c>
      <c r="F109" s="22" t="n">
        <v>0.12</v>
      </c>
      <c r="G109" s="22" t="n">
        <v>0.12</v>
      </c>
      <c r="H109" s="22" t="n">
        <v>0.12</v>
      </c>
    </row>
    <row r="110">
      <c r="B110" s="29" t="inlineStr">
        <is>
          <t xml:space="preserve">    Active</t>
        </is>
      </c>
      <c r="C110" s="19" t="inlineStr">
        <is>
          <t>%</t>
        </is>
      </c>
      <c r="D110" s="33">
        <f>INDEX($D$105:$H$109,$D$5,1)</f>
        <v/>
      </c>
      <c r="E110" s="33">
        <f>INDEX($D$105:$H$109,$D$5,2)</f>
        <v/>
      </c>
      <c r="F110" s="33">
        <f>INDEX($D$105:$H$109,$D$5,3)</f>
        <v/>
      </c>
      <c r="G110" s="33">
        <f>INDEX($D$105:$H$109,$D$5,4)</f>
        <v/>
      </c>
      <c r="H110" s="33">
        <f>INDEX($D$105:$H$109,$D$5,5)</f>
        <v/>
      </c>
    </row>
    <row r="111"/>
    <row r="112"/>
    <row r="113">
      <c r="B113" s="3" t="inlineStr">
        <is>
          <t>COST OF REVENUE</t>
        </is>
      </c>
      <c r="C113" s="4" t="n"/>
      <c r="D113" s="4" t="n"/>
      <c r="E113" s="4" t="n"/>
      <c r="F113" s="4" t="n"/>
      <c r="G113" s="4" t="n"/>
      <c r="H113" s="4" t="n"/>
    </row>
    <row r="114">
      <c r="B114" s="18" t="inlineStr">
        <is>
          <t>Tracked prompts per enterprise customer</t>
        </is>
      </c>
      <c r="C114" s="19" t="inlineStr">
        <is>
          <t>#</t>
        </is>
      </c>
      <c r="D114" s="21" t="n">
        <v>2000</v>
      </c>
      <c r="J114" s="16" t="inlineStr">
        <is>
          <t>Set for a large multi brand enterprise.</t>
        </is>
      </c>
    </row>
    <row r="115">
      <c r="B115" s="18" t="inlineStr">
        <is>
          <t>AI engines monitored</t>
        </is>
      </c>
      <c r="C115" s="19" t="inlineStr">
        <is>
          <t>#</t>
        </is>
      </c>
      <c r="D115" s="21" t="n">
        <v>10</v>
      </c>
      <c r="J115" s="16" t="inlineStr">
        <is>
          <t>Published product fact. The Enterprise tier covers all ten engines.</t>
        </is>
      </c>
    </row>
    <row r="116">
      <c r="B116" s="18" t="inlineStr">
        <is>
          <t>Runs per prompt per month</t>
        </is>
      </c>
      <c r="C116" s="19" t="inlineStr">
        <is>
          <t>#</t>
        </is>
      </c>
      <c r="D116" s="21" t="n">
        <v>30</v>
      </c>
      <c r="J116" s="16" t="inlineStr">
        <is>
          <t>Daily refresh. Tracking change over time is the core value proposition.</t>
        </is>
      </c>
    </row>
    <row r="117">
      <c r="B117" s="23" t="n"/>
    </row>
    <row r="118">
      <c r="B118" s="18" t="inlineStr">
        <is>
          <t>Query volume growth per year</t>
        </is>
      </c>
      <c r="C118" s="19" t="inlineStr">
        <is>
          <t>%</t>
        </is>
      </c>
      <c r="D118" s="22" t="n">
        <v>0.15</v>
      </c>
    </row>
    <row r="119">
      <c r="B119" s="18" t="inlineStr">
        <is>
          <t>Cost per query</t>
        </is>
      </c>
      <c r="C119" s="19" t="inlineStr">
        <is>
          <t>$</t>
        </is>
      </c>
      <c r="D119" s="34" t="n">
        <v>0.0012</v>
      </c>
    </row>
    <row r="120">
      <c r="B120" s="18" t="inlineStr">
        <is>
          <t>Inference cost deflation per year</t>
        </is>
      </c>
      <c r="C120" s="19" t="inlineStr">
        <is>
          <t>%</t>
        </is>
      </c>
      <c r="D120" s="22" t="n">
        <v>0.22</v>
      </c>
      <c r="J120" s="16" t="inlineStr">
        <is>
          <t>Observed token price decline.</t>
        </is>
      </c>
    </row>
    <row r="121">
      <c r="B121" s="18" t="inlineStr">
        <is>
          <t>Agents cost as share of Agents revenue</t>
        </is>
      </c>
      <c r="C121" s="19" t="inlineStr">
        <is>
          <t>%</t>
        </is>
      </c>
      <c r="D121" s="24" t="n">
        <v>0.4</v>
      </c>
      <c r="E121" s="24" t="n">
        <v>0.37</v>
      </c>
      <c r="F121" s="24" t="n">
        <v>0.34</v>
      </c>
      <c r="G121" s="24" t="n">
        <v>0.32</v>
      </c>
      <c r="H121" s="24" t="n">
        <v>0.3</v>
      </c>
    </row>
    <row r="122">
      <c r="B122" s="18" t="inlineStr">
        <is>
          <t>Self serve cost as share of self serve revenue</t>
        </is>
      </c>
      <c r="C122" s="19" t="inlineStr">
        <is>
          <t>%</t>
        </is>
      </c>
      <c r="D122" s="24" t="n">
        <v>0.25</v>
      </c>
    </row>
    <row r="123">
      <c r="B123" s="18" t="inlineStr">
        <is>
          <t>Hosting as share of revenue</t>
        </is>
      </c>
      <c r="C123" s="19" t="inlineStr">
        <is>
          <t>%</t>
        </is>
      </c>
      <c r="D123" s="22" t="n">
        <v>0.06</v>
      </c>
      <c r="E123" s="22" t="n">
        <v>0.055</v>
      </c>
      <c r="F123" s="22" t="n">
        <v>0.05</v>
      </c>
      <c r="G123" s="22" t="n">
        <v>0.045</v>
      </c>
      <c r="H123" s="22" t="n">
        <v>0.04</v>
      </c>
    </row>
    <row r="124">
      <c r="B124" s="18" t="inlineStr">
        <is>
          <t>Third party data as share of revenue</t>
        </is>
      </c>
      <c r="C124" s="19" t="inlineStr">
        <is>
          <t>%</t>
        </is>
      </c>
      <c r="D124" s="22" t="n">
        <v>0.02</v>
      </c>
    </row>
    <row r="125">
      <c r="B125" s="23" t="inlineStr">
        <is>
          <t>Policy: customer success payroll sits in cost of revenue. Stated, not assumed silently.</t>
        </is>
      </c>
    </row>
    <row r="126"/>
    <row r="127">
      <c r="B127" s="3" t="inlineStr">
        <is>
          <t>HEADCOUNT AND COMPENSATION</t>
        </is>
      </c>
      <c r="C127" s="4" t="n"/>
      <c r="D127" s="4" t="n"/>
      <c r="E127" s="4" t="n"/>
      <c r="F127" s="4" t="n"/>
      <c r="G127" s="4" t="n"/>
      <c r="H127" s="4" t="n"/>
    </row>
    <row r="128">
      <c r="B128" s="18" t="inlineStr">
        <is>
          <t>Opening headcount, RND</t>
        </is>
      </c>
      <c r="C128" s="19" t="inlineStr">
        <is>
          <t>#</t>
        </is>
      </c>
      <c r="D128" s="21" t="n">
        <v>100</v>
      </c>
    </row>
    <row r="129">
      <c r="B129" s="18" t="inlineStr">
        <is>
          <t>Opening headcount, SM</t>
        </is>
      </c>
      <c r="C129" s="19" t="inlineStr">
        <is>
          <t>#</t>
        </is>
      </c>
      <c r="D129" s="21" t="n">
        <v>75</v>
      </c>
    </row>
    <row r="130">
      <c r="B130" s="18" t="inlineStr">
        <is>
          <t>Opening headcount, CS</t>
        </is>
      </c>
      <c r="C130" s="19" t="inlineStr">
        <is>
          <t>#</t>
        </is>
      </c>
      <c r="D130" s="21" t="n">
        <v>45</v>
      </c>
    </row>
    <row r="131">
      <c r="B131" s="18" t="inlineStr">
        <is>
          <t>Opening headcount, GA</t>
        </is>
      </c>
      <c r="C131" s="19" t="inlineStr">
        <is>
          <t>#</t>
        </is>
      </c>
      <c r="D131" s="21" t="n">
        <v>30</v>
      </c>
    </row>
    <row r="132">
      <c r="B132" s="18" t="inlineStr">
        <is>
          <t>Fully loaded cost, RND</t>
        </is>
      </c>
      <c r="C132" s="19" t="inlineStr">
        <is>
          <t>$</t>
        </is>
      </c>
      <c r="D132" s="20" t="n">
        <v>288000</v>
      </c>
    </row>
    <row r="133">
      <c r="B133" s="18" t="inlineStr">
        <is>
          <t>Fully loaded cost, AE</t>
        </is>
      </c>
      <c r="C133" s="19" t="inlineStr">
        <is>
          <t>$</t>
        </is>
      </c>
      <c r="D133" s="20" t="n">
        <v>323000</v>
      </c>
    </row>
    <row r="134">
      <c r="B134" s="18" t="inlineStr">
        <is>
          <t>Fully loaded cost, SDR</t>
        </is>
      </c>
      <c r="C134" s="19" t="inlineStr">
        <is>
          <t>$</t>
        </is>
      </c>
      <c r="D134" s="20" t="n">
        <v>161000</v>
      </c>
    </row>
    <row r="135">
      <c r="B135" s="18" t="inlineStr">
        <is>
          <t>Fully loaded cost, MKTG</t>
        </is>
      </c>
      <c r="C135" s="19" t="inlineStr">
        <is>
          <t>$</t>
        </is>
      </c>
      <c r="D135" s="20" t="n">
        <v>217000</v>
      </c>
    </row>
    <row r="136">
      <c r="B136" s="18" t="inlineStr">
        <is>
          <t>Fully loaded cost, SALESOPS</t>
        </is>
      </c>
      <c r="C136" s="19" t="inlineStr">
        <is>
          <t>$</t>
        </is>
      </c>
      <c r="D136" s="20" t="n">
        <v>205000</v>
      </c>
    </row>
    <row r="137">
      <c r="B137" s="18" t="inlineStr">
        <is>
          <t>Fully loaded cost, CS</t>
        </is>
      </c>
      <c r="C137" s="19" t="inlineStr">
        <is>
          <t>$</t>
        </is>
      </c>
      <c r="D137" s="20" t="n">
        <v>182000</v>
      </c>
    </row>
    <row r="138">
      <c r="B138" s="18" t="inlineStr">
        <is>
          <t>Fully loaded cost, GA</t>
        </is>
      </c>
      <c r="C138" s="19" t="inlineStr">
        <is>
          <t>$</t>
        </is>
      </c>
      <c r="D138" s="20" t="n">
        <v>201000</v>
      </c>
    </row>
    <row r="139">
      <c r="B139" s="18" t="inlineStr">
        <is>
          <t>Compensation inflation per year</t>
        </is>
      </c>
      <c r="C139" s="19" t="inlineStr">
        <is>
          <t>%</t>
        </is>
      </c>
      <c r="D139" s="22" t="n">
        <v>0.04</v>
      </c>
    </row>
    <row r="140">
      <c r="B140" s="18" t="inlineStr">
        <is>
          <t>Sales attrition per year</t>
        </is>
      </c>
      <c r="C140" s="19" t="inlineStr">
        <is>
          <t>%</t>
        </is>
      </c>
      <c r="D140" s="22" t="n">
        <v>0.2</v>
      </c>
      <c r="J140" s="16" t="inlineStr">
        <is>
          <t>Best in class. Benchmark AE turnover is 30% to 32%. Source: Benchmark AE turnover 30-32%, SDR 45-48%, blended 35%. Best in class under 20%. Optifai, 939 B2B companies.</t>
        </is>
      </c>
    </row>
    <row r="141">
      <c r="B141" s="18" t="inlineStr">
        <is>
          <t>Non sales attrition per year</t>
        </is>
      </c>
      <c r="C141" s="19" t="inlineStr">
        <is>
          <t>%</t>
        </is>
      </c>
      <c r="D141" s="22" t="n">
        <v>0.08</v>
      </c>
    </row>
    <row r="142">
      <c r="B142" s="18" t="inlineStr">
        <is>
          <t>Recruiting cost per hire</t>
        </is>
      </c>
      <c r="C142" s="19" t="inlineStr">
        <is>
          <t>$</t>
        </is>
      </c>
      <c r="D142" s="20" t="n">
        <v>22000</v>
      </c>
    </row>
    <row r="143">
      <c r="B143" s="18" t="inlineStr">
        <is>
          <t>Stock compensation as share of revenue</t>
        </is>
      </c>
      <c r="C143" s="19" t="inlineStr">
        <is>
          <t>%</t>
        </is>
      </c>
      <c r="D143" s="24" t="n">
        <v>0.15</v>
      </c>
      <c r="J143" s="16" t="inlineStr">
        <is>
          <t>Non cash. Benchmarked on revenue, as public companies disclose it. Public SaaS comps run 15 to 25 per cent of revenue.</t>
        </is>
      </c>
    </row>
    <row r="144">
      <c r="B144" s="26" t="inlineStr">
        <is>
          <t>Enterprise customers per CSM</t>
        </is>
      </c>
      <c r="C144" s="27" t="n"/>
      <c r="D144" s="27" t="n"/>
      <c r="E144" s="27" t="n"/>
      <c r="F144" s="27" t="n"/>
      <c r="G144" s="27" t="n"/>
      <c r="H144" s="27" t="n"/>
    </row>
    <row r="145">
      <c r="B145" s="18" t="inlineStr">
        <is>
          <t xml:space="preserve">    Base</t>
        </is>
      </c>
      <c r="C145" s="19" t="inlineStr">
        <is>
          <t>#</t>
        </is>
      </c>
      <c r="D145" s="31" t="n">
        <v>13</v>
      </c>
      <c r="E145" s="31" t="n">
        <v>12</v>
      </c>
      <c r="F145" s="31" t="n">
        <v>11</v>
      </c>
      <c r="G145" s="31" t="n">
        <v>11</v>
      </c>
      <c r="H145" s="31" t="n">
        <v>10</v>
      </c>
    </row>
    <row r="146">
      <c r="B146" s="28" t="inlineStr">
        <is>
          <t xml:space="preserve">    Upside</t>
        </is>
      </c>
      <c r="C146" s="19" t="inlineStr">
        <is>
          <t>#</t>
        </is>
      </c>
      <c r="D146" s="31" t="n">
        <v>13</v>
      </c>
      <c r="E146" s="31" t="n">
        <v>12</v>
      </c>
      <c r="F146" s="31" t="n">
        <v>11</v>
      </c>
      <c r="G146" s="31" t="n">
        <v>11</v>
      </c>
      <c r="H146" s="31" t="n">
        <v>10</v>
      </c>
    </row>
    <row r="147">
      <c r="B147" s="28" t="inlineStr">
        <is>
          <t xml:space="preserve">    Downside</t>
        </is>
      </c>
      <c r="C147" s="19" t="inlineStr">
        <is>
          <t>#</t>
        </is>
      </c>
      <c r="D147" s="31" t="n">
        <v>13</v>
      </c>
      <c r="E147" s="31" t="n">
        <v>12</v>
      </c>
      <c r="F147" s="31" t="n">
        <v>11</v>
      </c>
      <c r="G147" s="31" t="n">
        <v>11</v>
      </c>
      <c r="H147" s="31" t="n">
        <v>10</v>
      </c>
    </row>
    <row r="148">
      <c r="B148" s="28" t="inlineStr">
        <is>
          <t xml:space="preserve">    Agents-Led</t>
        </is>
      </c>
      <c r="C148" s="19" t="inlineStr">
        <is>
          <t>#</t>
        </is>
      </c>
      <c r="D148" s="31" t="n">
        <v>13</v>
      </c>
      <c r="E148" s="31" t="n">
        <v>12</v>
      </c>
      <c r="F148" s="31" t="n">
        <v>11</v>
      </c>
      <c r="G148" s="31" t="n">
        <v>11</v>
      </c>
      <c r="H148" s="31" t="n">
        <v>10</v>
      </c>
    </row>
    <row r="149">
      <c r="B149" s="28" t="inlineStr">
        <is>
          <t xml:space="preserve">    Downside + Freeze</t>
        </is>
      </c>
      <c r="C149" s="19" t="inlineStr">
        <is>
          <t>#</t>
        </is>
      </c>
      <c r="D149" s="31" t="n">
        <v>13</v>
      </c>
      <c r="E149" s="31" t="n">
        <v>15</v>
      </c>
      <c r="F149" s="31" t="n">
        <v>16</v>
      </c>
      <c r="G149" s="31" t="n">
        <v>16</v>
      </c>
      <c r="H149" s="31" t="n">
        <v>16</v>
      </c>
    </row>
    <row r="150">
      <c r="B150" s="29" t="inlineStr">
        <is>
          <t xml:space="preserve">    Active</t>
        </is>
      </c>
      <c r="C150" s="19" t="inlineStr">
        <is>
          <t>#</t>
        </is>
      </c>
      <c r="D150" s="32">
        <f>INDEX($D$145:$H$149,$D$5,1)</f>
        <v/>
      </c>
      <c r="E150" s="32">
        <f>INDEX($D$145:$H$149,$D$5,2)</f>
        <v/>
      </c>
      <c r="F150" s="32">
        <f>INDEX($D$145:$H$149,$D$5,3)</f>
        <v/>
      </c>
      <c r="G150" s="32">
        <f>INDEX($D$145:$H$149,$D$5,4)</f>
        <v/>
      </c>
      <c r="H150" s="32">
        <f>INDEX($D$145:$H$149,$D$5,5)</f>
        <v/>
      </c>
      <c r="J150" s="16" t="inlineStr">
        <is>
          <t>Tightens. Expansion is a customer success delivered motion.</t>
        </is>
      </c>
    </row>
    <row r="151"/>
    <row r="152">
      <c r="B152" s="26" t="inlineStr">
        <is>
          <t>G&amp;A hires per month</t>
        </is>
      </c>
      <c r="C152" s="27" t="n"/>
      <c r="D152" s="27" t="n"/>
      <c r="E152" s="27" t="n"/>
      <c r="F152" s="27" t="n"/>
      <c r="G152" s="27" t="n"/>
      <c r="H152" s="27" t="n"/>
    </row>
    <row r="153">
      <c r="B153" s="18" t="inlineStr">
        <is>
          <t xml:space="preserve">    Base</t>
        </is>
      </c>
      <c r="C153" s="19" t="inlineStr">
        <is>
          <t>#</t>
        </is>
      </c>
      <c r="D153" s="31" t="n">
        <v>2.2</v>
      </c>
      <c r="E153" s="31" t="n">
        <v>3</v>
      </c>
      <c r="F153" s="31" t="n">
        <v>3.5</v>
      </c>
      <c r="G153" s="31" t="n">
        <v>3.5</v>
      </c>
      <c r="H153" s="31" t="n">
        <v>3</v>
      </c>
    </row>
    <row r="154">
      <c r="B154" s="28" t="inlineStr">
        <is>
          <t xml:space="preserve">    Upside</t>
        </is>
      </c>
      <c r="C154" s="19" t="inlineStr">
        <is>
          <t>#</t>
        </is>
      </c>
      <c r="D154" s="31" t="n">
        <v>2.2</v>
      </c>
      <c r="E154" s="31" t="n">
        <v>3</v>
      </c>
      <c r="F154" s="31" t="n">
        <v>3.5</v>
      </c>
      <c r="G154" s="31" t="n">
        <v>3.5</v>
      </c>
      <c r="H154" s="31" t="n">
        <v>3</v>
      </c>
    </row>
    <row r="155">
      <c r="B155" s="28" t="inlineStr">
        <is>
          <t xml:space="preserve">    Downside</t>
        </is>
      </c>
      <c r="C155" s="19" t="inlineStr">
        <is>
          <t>#</t>
        </is>
      </c>
      <c r="D155" s="31" t="n">
        <v>2.2</v>
      </c>
      <c r="E155" s="31" t="n">
        <v>3</v>
      </c>
      <c r="F155" s="31" t="n">
        <v>3.5</v>
      </c>
      <c r="G155" s="31" t="n">
        <v>3.5</v>
      </c>
      <c r="H155" s="31" t="n">
        <v>3</v>
      </c>
    </row>
    <row r="156">
      <c r="B156" s="28" t="inlineStr">
        <is>
          <t xml:space="preserve">    Agents-Led</t>
        </is>
      </c>
      <c r="C156" s="19" t="inlineStr">
        <is>
          <t>#</t>
        </is>
      </c>
      <c r="D156" s="31" t="n">
        <v>2.2</v>
      </c>
      <c r="E156" s="31" t="n">
        <v>3</v>
      </c>
      <c r="F156" s="31" t="n">
        <v>3.5</v>
      </c>
      <c r="G156" s="31" t="n">
        <v>3.5</v>
      </c>
      <c r="H156" s="31" t="n">
        <v>3</v>
      </c>
    </row>
    <row r="157">
      <c r="B157" s="28" t="inlineStr">
        <is>
          <t xml:space="preserve">    Downside + Freeze</t>
        </is>
      </c>
      <c r="C157" s="19" t="inlineStr">
        <is>
          <t>#</t>
        </is>
      </c>
      <c r="D157" s="31" t="n">
        <v>2.2</v>
      </c>
      <c r="E157" s="31" t="n">
        <v>0.8</v>
      </c>
      <c r="F157" s="31" t="n">
        <v>0.5</v>
      </c>
      <c r="G157" s="31" t="n">
        <v>0.5</v>
      </c>
      <c r="H157" s="31" t="n">
        <v>0.5</v>
      </c>
    </row>
    <row r="158">
      <c r="B158" s="29" t="inlineStr">
        <is>
          <t xml:space="preserve">    Active</t>
        </is>
      </c>
      <c r="C158" s="19" t="inlineStr">
        <is>
          <t>#</t>
        </is>
      </c>
      <c r="D158" s="32">
        <f>INDEX($D$153:$H$157,$D$5,1)</f>
        <v/>
      </c>
      <c r="E158" s="32">
        <f>INDEX($D$153:$H$157,$D$5,2)</f>
        <v/>
      </c>
      <c r="F158" s="32">
        <f>INDEX($D$153:$H$157,$D$5,3)</f>
        <v/>
      </c>
      <c r="G158" s="32">
        <f>INDEX($D$153:$H$157,$D$5,4)</f>
        <v/>
      </c>
      <c r="H158" s="32">
        <f>INDEX($D$153:$H$157,$D$5,5)</f>
        <v/>
      </c>
    </row>
    <row r="159"/>
    <row r="160">
      <c r="B160" s="26" t="inlineStr">
        <is>
          <t>R&amp;D hires per month</t>
        </is>
      </c>
      <c r="C160" s="27" t="n"/>
      <c r="D160" s="27" t="n"/>
      <c r="E160" s="27" t="n"/>
      <c r="F160" s="27" t="n"/>
      <c r="G160" s="27" t="n"/>
      <c r="H160" s="27" t="n"/>
    </row>
    <row r="161">
      <c r="B161" s="18" t="inlineStr">
        <is>
          <t xml:space="preserve">    Base</t>
        </is>
      </c>
      <c r="C161" s="19" t="inlineStr">
        <is>
          <t>#</t>
        </is>
      </c>
      <c r="D161" s="31" t="n">
        <v>6</v>
      </c>
      <c r="E161" s="31" t="n">
        <v>8</v>
      </c>
      <c r="F161" s="31" t="n">
        <v>8.5</v>
      </c>
      <c r="G161" s="31" t="n">
        <v>8.5</v>
      </c>
      <c r="H161" s="31" t="n">
        <v>8</v>
      </c>
    </row>
    <row r="162">
      <c r="B162" s="28" t="inlineStr">
        <is>
          <t xml:space="preserve">    Upside</t>
        </is>
      </c>
      <c r="C162" s="19" t="inlineStr">
        <is>
          <t>#</t>
        </is>
      </c>
      <c r="D162" s="31" t="n">
        <v>8.5</v>
      </c>
      <c r="E162" s="31" t="n">
        <v>11</v>
      </c>
      <c r="F162" s="31" t="n">
        <v>12</v>
      </c>
      <c r="G162" s="31" t="n">
        <v>12</v>
      </c>
      <c r="H162" s="31" t="n">
        <v>11</v>
      </c>
    </row>
    <row r="163">
      <c r="B163" s="28" t="inlineStr">
        <is>
          <t xml:space="preserve">    Downside</t>
        </is>
      </c>
      <c r="C163" s="19" t="inlineStr">
        <is>
          <t>#</t>
        </is>
      </c>
      <c r="D163" s="31" t="n">
        <v>6</v>
      </c>
      <c r="E163" s="31" t="n">
        <v>8</v>
      </c>
      <c r="F163" s="31" t="n">
        <v>8.5</v>
      </c>
      <c r="G163" s="31" t="n">
        <v>8.5</v>
      </c>
      <c r="H163" s="31" t="n">
        <v>8</v>
      </c>
    </row>
    <row r="164">
      <c r="B164" s="28" t="inlineStr">
        <is>
          <t xml:space="preserve">    Agents-Led</t>
        </is>
      </c>
      <c r="C164" s="19" t="inlineStr">
        <is>
          <t>#</t>
        </is>
      </c>
      <c r="D164" s="31" t="n">
        <v>8</v>
      </c>
      <c r="E164" s="31" t="n">
        <v>10.5</v>
      </c>
      <c r="F164" s="31" t="n">
        <v>11.5</v>
      </c>
      <c r="G164" s="31" t="n">
        <v>11.5</v>
      </c>
      <c r="H164" s="31" t="n">
        <v>10.5</v>
      </c>
    </row>
    <row r="165">
      <c r="B165" s="28" t="inlineStr">
        <is>
          <t xml:space="preserve">    Downside + Freeze</t>
        </is>
      </c>
      <c r="C165" s="19" t="inlineStr">
        <is>
          <t>#</t>
        </is>
      </c>
      <c r="D165" s="31" t="n">
        <v>6</v>
      </c>
      <c r="E165" s="31" t="n">
        <v>2.5</v>
      </c>
      <c r="F165" s="31" t="n">
        <v>2</v>
      </c>
      <c r="G165" s="31" t="n">
        <v>2</v>
      </c>
      <c r="H165" s="31" t="n">
        <v>2</v>
      </c>
    </row>
    <row r="166">
      <c r="B166" s="29" t="inlineStr">
        <is>
          <t xml:space="preserve">    Active</t>
        </is>
      </c>
      <c r="C166" s="19" t="inlineStr">
        <is>
          <t>#</t>
        </is>
      </c>
      <c r="D166" s="32">
        <f>INDEX($D$161:$H$165,$D$5,1)</f>
        <v/>
      </c>
      <c r="E166" s="32">
        <f>INDEX($D$161:$H$165,$D$5,2)</f>
        <v/>
      </c>
      <c r="F166" s="32">
        <f>INDEX($D$161:$H$165,$D$5,3)</f>
        <v/>
      </c>
      <c r="G166" s="32">
        <f>INDEX($D$161:$H$165,$D$5,4)</f>
        <v/>
      </c>
      <c r="H166" s="32">
        <f>INDEX($D$161:$H$165,$D$5,5)</f>
        <v/>
      </c>
    </row>
    <row r="167"/>
    <row r="168">
      <c r="B168" s="3" t="inlineStr">
        <is>
          <t>OPERATING EXPENSE</t>
        </is>
      </c>
      <c r="C168" s="4" t="n"/>
      <c r="D168" s="4" t="n"/>
      <c r="E168" s="4" t="n"/>
      <c r="F168" s="4" t="n"/>
      <c r="G168" s="4" t="n"/>
      <c r="H168" s="4" t="n"/>
    </row>
    <row r="169">
      <c r="B169" s="18" t="inlineStr">
        <is>
          <t>Software per head per year</t>
        </is>
      </c>
      <c r="C169" s="19" t="inlineStr">
        <is>
          <t>$</t>
        </is>
      </c>
      <c r="D169" s="20" t="n">
        <v>12000</v>
      </c>
    </row>
    <row r="170">
      <c r="B170" s="18" t="inlineStr">
        <is>
          <t>Travel and entertainment per head per year</t>
        </is>
      </c>
      <c r="C170" s="19" t="inlineStr">
        <is>
          <t>$</t>
        </is>
      </c>
      <c r="D170" s="20" t="n">
        <v>6000</v>
      </c>
    </row>
    <row r="171">
      <c r="B171" s="18" t="inlineStr">
        <is>
          <t>Other G&amp;A per head per year</t>
        </is>
      </c>
      <c r="C171" s="19" t="inlineStr">
        <is>
          <t>$</t>
        </is>
      </c>
      <c r="D171" s="20" t="n">
        <v>3000</v>
      </c>
    </row>
    <row r="172">
      <c r="B172" s="18" t="inlineStr">
        <is>
          <t>Facilities per head per year</t>
        </is>
      </c>
      <c r="C172" s="19" t="inlineStr">
        <is>
          <t>$</t>
        </is>
      </c>
      <c r="D172" s="20" t="n">
        <v>18000</v>
      </c>
    </row>
    <row r="173">
      <c r="B173" s="18" t="inlineStr">
        <is>
          <t>Headcount triggering office step</t>
        </is>
      </c>
      <c r="C173" s="19" t="inlineStr">
        <is>
          <t>#</t>
        </is>
      </c>
      <c r="D173" s="21" t="n">
        <v>400</v>
      </c>
      <c r="J173" s="16" t="inlineStr">
        <is>
          <t>They will outgrow the office. Facilities is a step, not a straight line.</t>
        </is>
      </c>
    </row>
    <row r="174">
      <c r="B174" s="18" t="inlineStr">
        <is>
          <t>Office step cost per year</t>
        </is>
      </c>
      <c r="C174" s="19" t="inlineStr">
        <is>
          <t>$</t>
        </is>
      </c>
      <c r="D174" s="20" t="n">
        <v>3000000</v>
      </c>
    </row>
    <row r="175">
      <c r="B175" s="18" t="inlineStr">
        <is>
          <t>R&amp;D compute as share of revenue</t>
        </is>
      </c>
      <c r="C175" s="19" t="inlineStr">
        <is>
          <t>%</t>
        </is>
      </c>
      <c r="D175" s="22" t="n">
        <v>0.05</v>
      </c>
      <c r="E175" s="22" t="n">
        <v>0.055</v>
      </c>
      <c r="F175" s="22" t="n">
        <v>0.055</v>
      </c>
      <c r="G175" s="22" t="n">
        <v>0.05</v>
      </c>
      <c r="H175" s="22" t="n">
        <v>0.045</v>
      </c>
      <c r="J175" s="16" t="inlineStr">
        <is>
          <t>Model training, evaluation and non cost of revenue infrastructure.</t>
        </is>
      </c>
    </row>
    <row r="176">
      <c r="B176" s="18" t="inlineStr">
        <is>
          <t>Marketing programmes as share of revenue</t>
        </is>
      </c>
      <c r="C176" s="19" t="inlineStr">
        <is>
          <t>%</t>
        </is>
      </c>
      <c r="D176" s="22" t="n">
        <v>0.08</v>
      </c>
    </row>
    <row r="177">
      <c r="B177" s="18" t="inlineStr">
        <is>
          <t>Professional fees per year</t>
        </is>
      </c>
      <c r="C177" s="19" t="inlineStr">
        <is>
          <t>$</t>
        </is>
      </c>
      <c r="D177" s="20" t="n">
        <v>2500000</v>
      </c>
    </row>
    <row r="178">
      <c r="B178" s="18" t="inlineStr">
        <is>
          <t>Professional fees growth per year</t>
        </is>
      </c>
      <c r="C178" s="19" t="inlineStr">
        <is>
          <t>%</t>
        </is>
      </c>
      <c r="D178" s="22" t="n">
        <v>0.15</v>
      </c>
    </row>
    <row r="179">
      <c r="B179" s="18" t="inlineStr">
        <is>
          <t>Insurance per year</t>
        </is>
      </c>
      <c r="C179" s="19" t="inlineStr">
        <is>
          <t>$</t>
        </is>
      </c>
      <c r="D179" s="20" t="n">
        <v>1200000</v>
      </c>
    </row>
    <row r="180">
      <c r="B180" s="18" t="inlineStr">
        <is>
          <t>Insurance growth per year</t>
        </is>
      </c>
      <c r="C180" s="19" t="inlineStr">
        <is>
          <t>%</t>
        </is>
      </c>
      <c r="D180" s="22" t="n">
        <v>0.1</v>
      </c>
    </row>
    <row r="181"/>
    <row r="182">
      <c r="B182" s="3" t="inlineStr">
        <is>
          <t>CASH AND WORKING CAPITAL</t>
        </is>
      </c>
      <c r="C182" s="4" t="n"/>
      <c r="D182" s="4" t="n"/>
      <c r="E182" s="4" t="n"/>
      <c r="F182" s="4" t="n"/>
      <c r="G182" s="4" t="n"/>
      <c r="H182" s="4" t="n"/>
    </row>
    <row r="183">
      <c r="B183" s="18" t="inlineStr">
        <is>
          <t>Share of core billings paid annually upfront</t>
        </is>
      </c>
      <c r="C183" s="19" t="inlineStr">
        <is>
          <t>%</t>
        </is>
      </c>
      <c r="D183" s="24" t="n">
        <v>0.65</v>
      </c>
      <c r="J183" s="16" t="inlineStr">
        <is>
          <t>Single largest driver of the cash conclusion.</t>
        </is>
      </c>
    </row>
    <row r="184">
      <c r="B184" s="18" t="inlineStr">
        <is>
          <t>Share billed quarterly</t>
        </is>
      </c>
      <c r="C184" s="19" t="inlineStr">
        <is>
          <t>%</t>
        </is>
      </c>
      <c r="D184" s="24" t="n">
        <v>0.35</v>
      </c>
    </row>
    <row r="185">
      <c r="B185" s="18" t="inlineStr">
        <is>
          <t>Days sales outstanding</t>
        </is>
      </c>
      <c r="C185" s="19" t="inlineStr">
        <is>
          <t>days</t>
        </is>
      </c>
      <c r="D185" s="21" t="n">
        <v>45</v>
      </c>
    </row>
    <row r="186">
      <c r="B186" s="18" t="inlineStr">
        <is>
          <t>Days payable outstanding</t>
        </is>
      </c>
      <c r="C186" s="19" t="inlineStr">
        <is>
          <t>days</t>
        </is>
      </c>
      <c r="D186" s="21" t="n">
        <v>30</v>
      </c>
    </row>
    <row r="187">
      <c r="B187" s="18" t="inlineStr">
        <is>
          <t>Bad debt as share of billings</t>
        </is>
      </c>
      <c r="C187" s="19" t="inlineStr">
        <is>
          <t>%</t>
        </is>
      </c>
      <c r="D187" s="22" t="n">
        <v>0.005</v>
      </c>
    </row>
    <row r="188">
      <c r="B188" s="18" t="inlineStr">
        <is>
          <t>Capital expenditure per new hire</t>
        </is>
      </c>
      <c r="C188" s="19" t="inlineStr">
        <is>
          <t>$</t>
        </is>
      </c>
      <c r="D188" s="20" t="n">
        <v>4000</v>
      </c>
    </row>
    <row r="189">
      <c r="B189" s="18" t="inlineStr">
        <is>
          <t>Leasehold at office step</t>
        </is>
      </c>
      <c r="C189" s="19" t="inlineStr">
        <is>
          <t>$</t>
        </is>
      </c>
      <c r="D189" s="20" t="n">
        <v>4000000</v>
      </c>
    </row>
    <row r="190">
      <c r="B190" s="18" t="inlineStr">
        <is>
          <t>Interest rate on cash</t>
        </is>
      </c>
      <c r="C190" s="19" t="inlineStr">
        <is>
          <t>%</t>
        </is>
      </c>
      <c r="D190" s="22" t="n">
        <v>0.04</v>
      </c>
      <c r="J190" s="16" t="inlineStr">
        <is>
          <t>Applied to the opening balance so the model has no circular reference.</t>
        </is>
      </c>
    </row>
    <row r="191"/>
    <row r="192">
      <c r="B192" s="3" t="inlineStr">
        <is>
          <t>FUNDRAISE POLICY</t>
        </is>
      </c>
      <c r="C192" s="4" t="n"/>
      <c r="D192" s="4" t="n"/>
      <c r="E192" s="4" t="n"/>
      <c r="F192" s="4" t="n"/>
      <c r="G192" s="4" t="n"/>
      <c r="H192" s="4" t="n"/>
    </row>
    <row r="193">
      <c r="B193" s="18" t="inlineStr">
        <is>
          <t>Launch process at runway of, months</t>
        </is>
      </c>
      <c r="C193" s="19" t="inlineStr">
        <is>
          <t>months</t>
        </is>
      </c>
      <c r="D193" s="21" t="n">
        <v>18</v>
      </c>
      <c r="J193" s="16" t="inlineStr">
        <is>
          <t>Rocket story, not buying time. Decision precedes the breach. Source: Series D norms: $100-300M round, $1-3B post money, 8-12% dilution, 24-36 months after Series C. Startups.com.</t>
        </is>
      </c>
    </row>
    <row r="194">
      <c r="B194" s="18" t="inlineStr">
        <is>
          <t>Milestone ARR</t>
        </is>
      </c>
      <c r="C194" s="19" t="inlineStr">
        <is>
          <t>$</t>
        </is>
      </c>
      <c r="D194" s="20" t="n">
        <v>100000000</v>
      </c>
    </row>
    <row r="195">
      <c r="B195" s="18" t="inlineStr">
        <is>
          <t>Milestone burn multiple</t>
        </is>
      </c>
      <c r="C195" s="19" t="inlineStr">
        <is>
          <t>x</t>
        </is>
      </c>
      <c r="D195" s="35" t="n">
        <v>1</v>
      </c>
    </row>
    <row r="196">
      <c r="B196" s="18" t="inlineStr">
        <is>
          <t>Target post raise runway, months</t>
        </is>
      </c>
      <c r="C196" s="19" t="inlineStr">
        <is>
          <t>months</t>
        </is>
      </c>
      <c r="D196" s="21" t="n">
        <v>24</v>
      </c>
    </row>
    <row r="197"/>
    <row r="198">
      <c r="B198" s="3" t="inlineStr">
        <is>
          <t>BENCHMARKS</t>
        </is>
      </c>
      <c r="C198" s="4" t="n"/>
      <c r="D198" s="4" t="n"/>
      <c r="E198" s="4" t="n"/>
      <c r="F198" s="4" t="n"/>
      <c r="G198" s="4" t="n"/>
      <c r="H198" s="4" t="n"/>
    </row>
    <row r="199">
      <c r="B199" s="23" t="n"/>
    </row>
    <row r="200">
      <c r="B200" s="18" t="inlineStr">
        <is>
          <t>NRR median</t>
        </is>
      </c>
      <c r="C200" s="19" t="n"/>
      <c r="D200" s="24" t="n">
        <v>1.15</v>
      </c>
    </row>
    <row r="201">
      <c r="B201" s="18" t="inlineStr">
        <is>
          <t>NRR top quartile</t>
        </is>
      </c>
      <c r="C201" s="19" t="n"/>
      <c r="D201" s="24" t="n">
        <v>1.28</v>
      </c>
    </row>
    <row r="202">
      <c r="B202" s="18" t="inlineStr">
        <is>
          <t>GRR median</t>
        </is>
      </c>
      <c r="C202" s="19" t="n"/>
      <c r="D202" s="24" t="n">
        <v>0.89</v>
      </c>
    </row>
    <row r="203">
      <c r="B203" s="18" t="inlineStr">
        <is>
          <t>GRR top quartile</t>
        </is>
      </c>
      <c r="C203" s="19" t="n"/>
      <c r="D203" s="24" t="n">
        <v>0.9399999999999999</v>
      </c>
    </row>
    <row r="204">
      <c r="B204" s="18" t="inlineStr">
        <is>
          <t>Burn multiple standard</t>
        </is>
      </c>
      <c r="C204" s="19" t="n"/>
      <c r="D204" s="35" t="n">
        <v>1</v>
      </c>
    </row>
    <row r="205">
      <c r="B205" s="18" t="inlineStr">
        <is>
          <t>SaaS gross margin standard</t>
        </is>
      </c>
      <c r="C205" s="19" t="n"/>
      <c r="D205" s="24" t="n">
        <v>0.78</v>
      </c>
    </row>
    <row r="206"/>
    <row r="207">
      <c r="B207" s="3" t="inlineStr">
        <is>
          <t>SOURCES</t>
        </is>
      </c>
      <c r="C207" s="4" t="n"/>
      <c r="D207" s="4" t="n"/>
      <c r="E207" s="4" t="n"/>
      <c r="F207" s="4" t="n"/>
      <c r="G207" s="4" t="n"/>
      <c r="H207" s="4" t="n"/>
    </row>
    <row r="208" ht="30" customHeight="1">
      <c r="B208" s="87" t="inlineStr">
        <is>
          <t>Growthspree, B2B SaaS NRR and GRR benchmarks 2026</t>
        </is>
      </c>
      <c r="C208" s="88" t="n"/>
      <c r="D208" s="89" t="inlineStr">
        <is>
          <t>NRR 115% median / 128% top quartile. GRR 89% / 94%. Logo retention 90% / 95%. Scale stage, $25M to $100M ARR.</t>
        </is>
      </c>
    </row>
    <row r="209" ht="30" customHeight="1">
      <c r="B209" s="87" t="inlineStr">
        <is>
          <t>Growthspree, B2B SaaS sales capacity planning 2026</t>
        </is>
      </c>
      <c r="C209" s="88" t="n"/>
      <c r="D209" s="89" t="inlineStr">
        <is>
          <t>AE quota $0.9M to $1.4M commercial. Ramp 7 to 9 months. Attainment 70% median, 80% top quartile. Fully ramped AEs are only 60 to 75% of AE headcount. Time to hire 6 to 10 weeks.</t>
        </is>
      </c>
    </row>
    <row r="210" ht="30" customHeight="1">
      <c r="B210" s="87" t="inlineStr">
        <is>
          <t>Data-Mania, B2B SaaS revenue efficiency benchmarks 2026</t>
        </is>
      </c>
      <c r="C210" s="88" t="n"/>
      <c r="D210" s="89" t="inlineStr">
        <is>
          <t>Burn multiple below 1.00x at $50M+ ARR. Magic number 0.60 to 0.85. Rule of 40 ~38%.</t>
        </is>
      </c>
    </row>
    <row r="211" ht="30" customHeight="1">
      <c r="B211" s="87" t="inlineStr">
        <is>
          <t>Optifai, sales team turnover by role, 939 B2B companies</t>
        </is>
      </c>
      <c r="C211" s="88" t="n"/>
      <c r="D211" s="89" t="inlineStr">
        <is>
          <t>AE turnover 30 to 32%. SDR 45 to 48%. Blended sales 35%. Best in class under 20%.</t>
        </is>
      </c>
    </row>
    <row r="212" ht="30" customHeight="1">
      <c r="B212" s="87" t="inlineStr">
        <is>
          <t>Startups.com, Series D funding benchmarks</t>
        </is>
      </c>
      <c r="C212" s="88" t="n"/>
      <c r="D212" s="89" t="inlineStr">
        <is>
          <t>Series D $100M to $300M, median ~$150M. Post money $1B to $3B. Founder dilution 8 to 12%. ARR threshold $50M to $100M+. Typically 24 to 36 months after Series C.</t>
        </is>
      </c>
    </row>
    <row r="213" ht="30" customHeight="1">
      <c r="B213" s="87" t="inlineStr">
        <is>
          <t>Profound pricing, 2026</t>
        </is>
      </c>
      <c r="C213" s="88" t="n"/>
      <c r="D213" s="89" t="inlineStr">
        <is>
          <t>Published pricing tiers: $99 Starter, $399 Growth, custom Enterprise.</t>
        </is>
      </c>
    </row>
    <row r="214" ht="30" customHeight="1">
      <c r="B214" s="87" t="inlineStr">
        <is>
          <t>Fortune, February 2026</t>
        </is>
      </c>
      <c r="C214" s="88" t="n"/>
      <c r="D214" s="89" t="inlineStr">
        <is>
          <t>700+ enterprise customers, $96M Series C at $1B, $155M raised to date.</t>
        </is>
      </c>
    </row>
    <row r="215" ht="30" customHeight="1">
      <c r="B215" s="87" t="inlineStr">
        <is>
          <t>CloudZero, LLM API pricing comparison 2026</t>
        </is>
      </c>
      <c r="C215" s="88" t="n"/>
      <c r="D215" s="89" t="inlineStr">
        <is>
          <t>Token pricing used to derive cost per query. Budget tier $0.10 to $0.14 per M input. Mid tier $0.30 to $1.00 input, $2.50 to $5.00 output. Batch processing 50% off, prompt caching up to 90% off cached input.</t>
        </is>
      </c>
    </row>
  </sheetData>
  <dataValidations count="1">
    <dataValidation sqref="D5" showDropDown="0" showInputMessage="0" showErrorMessage="0" allowBlank="0" type="whole">
      <formula1>1</formula1>
      <formula2>5</formula2>
    </dataValidation>
  </dataValidations>
  <pageMargins left="0.75" right="0.75" top="1" bottom="1" header="0.5" footer="0.5"/>
  <pageSetup orientation="portrait" horizontalDpi="0" verticalDpi="0"/>
</worksheet>
</file>

<file path=xl/worksheets/sheet3.xml><?xml version="1.0" encoding="utf-8"?>
<worksheet xmlns="http://schemas.openxmlformats.org/spreadsheetml/2006/main">
  <sheetPr>
    <tabColor rgb="FF2E7D32"/>
    <outlinePr summaryBelow="1" summaryRight="1"/>
    <pageSetUpPr/>
  </sheetPr>
  <dimension ref="A1:BQ30"/>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Revenue: Sales Capacity and Bookings</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QUOTA CARRYING CAPACITY</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18" t="inlineStr">
        <is>
          <t xml:space="preserve">    AE hires arriving</t>
        </is>
      </c>
      <c r="C10" s="19" t="inlineStr">
        <is>
          <t>#</t>
        </is>
      </c>
      <c r="D10" s="42">
        <f>INDEX(Inputs!$D$50:$H$50,1,D$6-2025)</f>
        <v/>
      </c>
      <c r="E10" s="42">
        <f>INDEX(Inputs!$D$50:$H$50,1,D$6-2025)</f>
        <v/>
      </c>
      <c r="F10" s="42">
        <f>INDEX(Inputs!$D$50:$H$50,1,D$6-2025)</f>
        <v/>
      </c>
      <c r="G10" s="42">
        <f>INDEX(Inputs!$D$50:$H$50,1,E$6-2025)</f>
        <v/>
      </c>
      <c r="H10" s="42">
        <f>INDEX(Inputs!$D$50:$H$50,1,F$6-2025)</f>
        <v/>
      </c>
      <c r="I10" s="42">
        <f>INDEX(Inputs!$D$50:$H$50,1,G$6-2025)</f>
        <v/>
      </c>
      <c r="J10" s="42">
        <f>INDEX(Inputs!$D$50:$H$50,1,H$6-2025)</f>
        <v/>
      </c>
      <c r="K10" s="42">
        <f>INDEX(Inputs!$D$50:$H$50,1,I$6-2025)</f>
        <v/>
      </c>
      <c r="L10" s="42">
        <f>INDEX(Inputs!$D$50:$H$50,1,J$6-2025)</f>
        <v/>
      </c>
      <c r="M10" s="42">
        <f>INDEX(Inputs!$D$50:$H$50,1,K$6-2025)</f>
        <v/>
      </c>
      <c r="N10" s="42">
        <f>INDEX(Inputs!$D$50:$H$50,1,L$6-2025)</f>
        <v/>
      </c>
      <c r="O10" s="42">
        <f>INDEX(Inputs!$D$50:$H$50,1,M$6-2025)</f>
        <v/>
      </c>
      <c r="P10" s="42">
        <f>INDEX(Inputs!$D$50:$H$50,1,N$6-2025)</f>
        <v/>
      </c>
      <c r="Q10" s="42">
        <f>INDEX(Inputs!$D$50:$H$50,1,O$6-2025)</f>
        <v/>
      </c>
      <c r="R10" s="42">
        <f>INDEX(Inputs!$D$50:$H$50,1,P$6-2025)</f>
        <v/>
      </c>
      <c r="S10" s="42">
        <f>INDEX(Inputs!$D$50:$H$50,1,Q$6-2025)</f>
        <v/>
      </c>
      <c r="T10" s="42">
        <f>INDEX(Inputs!$D$50:$H$50,1,R$6-2025)</f>
        <v/>
      </c>
      <c r="U10" s="42">
        <f>INDEX(Inputs!$D$50:$H$50,1,S$6-2025)</f>
        <v/>
      </c>
      <c r="V10" s="42">
        <f>INDEX(Inputs!$D$50:$H$50,1,T$6-2025)</f>
        <v/>
      </c>
      <c r="W10" s="42">
        <f>INDEX(Inputs!$D$50:$H$50,1,U$6-2025)</f>
        <v/>
      </c>
      <c r="X10" s="42">
        <f>INDEX(Inputs!$D$50:$H$50,1,V$6-2025)</f>
        <v/>
      </c>
      <c r="Y10" s="42">
        <f>INDEX(Inputs!$D$50:$H$50,1,W$6-2025)</f>
        <v/>
      </c>
      <c r="Z10" s="42">
        <f>INDEX(Inputs!$D$50:$H$50,1,X$6-2025)</f>
        <v/>
      </c>
      <c r="AA10" s="42">
        <f>INDEX(Inputs!$D$50:$H$50,1,Y$6-2025)</f>
        <v/>
      </c>
      <c r="AB10" s="42">
        <f>INDEX(Inputs!$D$50:$H$50,1,Z$6-2025)</f>
        <v/>
      </c>
      <c r="AC10" s="42">
        <f>INDEX(Inputs!$D$50:$H$50,1,AA$6-2025)</f>
        <v/>
      </c>
      <c r="AD10" s="42">
        <f>INDEX(Inputs!$D$50:$H$50,1,AB$6-2025)</f>
        <v/>
      </c>
      <c r="AE10" s="42">
        <f>INDEX(Inputs!$D$50:$H$50,1,AC$6-2025)</f>
        <v/>
      </c>
      <c r="AF10" s="42">
        <f>INDEX(Inputs!$D$50:$H$50,1,AD$6-2025)</f>
        <v/>
      </c>
      <c r="AG10" s="42">
        <f>INDEX(Inputs!$D$50:$H$50,1,AE$6-2025)</f>
        <v/>
      </c>
      <c r="AH10" s="42">
        <f>INDEX(Inputs!$D$50:$H$50,1,AF$6-2025)</f>
        <v/>
      </c>
      <c r="AI10" s="42">
        <f>INDEX(Inputs!$D$50:$H$50,1,AG$6-2025)</f>
        <v/>
      </c>
      <c r="AJ10" s="42">
        <f>INDEX(Inputs!$D$50:$H$50,1,AH$6-2025)</f>
        <v/>
      </c>
      <c r="AK10" s="42">
        <f>INDEX(Inputs!$D$50:$H$50,1,AI$6-2025)</f>
        <v/>
      </c>
      <c r="AL10" s="42">
        <f>INDEX(Inputs!$D$50:$H$50,1,AJ$6-2025)</f>
        <v/>
      </c>
      <c r="AM10" s="42">
        <f>INDEX(Inputs!$D$50:$H$50,1,AK$6-2025)</f>
        <v/>
      </c>
      <c r="AN10" s="42">
        <f>INDEX(Inputs!$D$50:$H$50,1,AL$6-2025)</f>
        <v/>
      </c>
      <c r="AO10" s="42">
        <f>INDEX(Inputs!$D$50:$H$50,1,AM$6-2025)</f>
        <v/>
      </c>
      <c r="AP10" s="42">
        <f>INDEX(Inputs!$D$50:$H$50,1,AN$6-2025)</f>
        <v/>
      </c>
      <c r="AQ10" s="42">
        <f>INDEX(Inputs!$D$50:$H$50,1,AO$6-2025)</f>
        <v/>
      </c>
      <c r="AR10" s="42">
        <f>INDEX(Inputs!$D$50:$H$50,1,AP$6-2025)</f>
        <v/>
      </c>
      <c r="AS10" s="42">
        <f>INDEX(Inputs!$D$50:$H$50,1,AQ$6-2025)</f>
        <v/>
      </c>
      <c r="AT10" s="42">
        <f>INDEX(Inputs!$D$50:$H$50,1,AR$6-2025)</f>
        <v/>
      </c>
      <c r="AU10" s="42">
        <f>INDEX(Inputs!$D$50:$H$50,1,AS$6-2025)</f>
        <v/>
      </c>
      <c r="AV10" s="42">
        <f>INDEX(Inputs!$D$50:$H$50,1,AT$6-2025)</f>
        <v/>
      </c>
      <c r="AW10" s="42">
        <f>INDEX(Inputs!$D$50:$H$50,1,AU$6-2025)</f>
        <v/>
      </c>
      <c r="AX10" s="42">
        <f>INDEX(Inputs!$D$50:$H$50,1,AV$6-2025)</f>
        <v/>
      </c>
      <c r="AY10" s="42">
        <f>INDEX(Inputs!$D$50:$H$50,1,AW$6-2025)</f>
        <v/>
      </c>
      <c r="AZ10" s="42">
        <f>INDEX(Inputs!$D$50:$H$50,1,AX$6-2025)</f>
        <v/>
      </c>
      <c r="BA10" s="42">
        <f>INDEX(Inputs!$D$50:$H$50,1,AY$6-2025)</f>
        <v/>
      </c>
      <c r="BB10" s="42">
        <f>INDEX(Inputs!$D$50:$H$50,1,AZ$6-2025)</f>
        <v/>
      </c>
      <c r="BC10" s="42">
        <f>INDEX(Inputs!$D$50:$H$50,1,BA$6-2025)</f>
        <v/>
      </c>
      <c r="BD10" s="42">
        <f>INDEX(Inputs!$D$50:$H$50,1,BB$6-2025)</f>
        <v/>
      </c>
      <c r="BE10" s="42">
        <f>INDEX(Inputs!$D$50:$H$50,1,BC$6-2025)</f>
        <v/>
      </c>
      <c r="BF10" s="42">
        <f>INDEX(Inputs!$D$50:$H$50,1,BD$6-2025)</f>
        <v/>
      </c>
      <c r="BG10" s="42">
        <f>INDEX(Inputs!$D$50:$H$50,1,BE$6-2025)</f>
        <v/>
      </c>
      <c r="BH10" s="42">
        <f>INDEX(Inputs!$D$50:$H$50,1,BF$6-2025)</f>
        <v/>
      </c>
      <c r="BI10" s="42">
        <f>INDEX(Inputs!$D$50:$H$50,1,BG$6-2025)</f>
        <v/>
      </c>
      <c r="BJ10" s="42">
        <f>INDEX(Inputs!$D$50:$H$50,1,BH$6-2025)</f>
        <v/>
      </c>
      <c r="BK10" s="42">
        <f>INDEX(Inputs!$D$50:$H$50,1,BI$6-2025)</f>
        <v/>
      </c>
      <c r="BM10" s="92">
        <f>SUM(D10:O10)</f>
        <v/>
      </c>
      <c r="BN10" s="92">
        <f>SUM(P10:AA10)</f>
        <v/>
      </c>
      <c r="BO10" s="92">
        <f>SUM(AB10:AM10)</f>
        <v/>
      </c>
      <c r="BP10" s="92">
        <f>SUM(AN10:AY10)</f>
        <v/>
      </c>
      <c r="BQ10" s="92">
        <f>SUM(AZ10:BK10)</f>
        <v/>
      </c>
    </row>
    <row r="11">
      <c r="B11" s="18" t="inlineStr">
        <is>
          <t xml:space="preserve">    AE attrition</t>
        </is>
      </c>
      <c r="C11" s="19" t="inlineStr">
        <is>
          <t>#</t>
        </is>
      </c>
      <c r="D11" s="44">
        <f>Inputs!$D$21*Inputs!$D$140/12</f>
        <v/>
      </c>
      <c r="E11" s="44">
        <f>D12*Inputs!$D$140/12</f>
        <v/>
      </c>
      <c r="F11" s="44">
        <f>E12*Inputs!$D$140/12</f>
        <v/>
      </c>
      <c r="G11" s="44">
        <f>F12*Inputs!$D$140/12</f>
        <v/>
      </c>
      <c r="H11" s="44">
        <f>G12*Inputs!$D$140/12</f>
        <v/>
      </c>
      <c r="I11" s="44">
        <f>H12*Inputs!$D$140/12</f>
        <v/>
      </c>
      <c r="J11" s="44">
        <f>I12*Inputs!$D$140/12</f>
        <v/>
      </c>
      <c r="K11" s="44">
        <f>J12*Inputs!$D$140/12</f>
        <v/>
      </c>
      <c r="L11" s="44">
        <f>K12*Inputs!$D$140/12</f>
        <v/>
      </c>
      <c r="M11" s="44">
        <f>L12*Inputs!$D$140/12</f>
        <v/>
      </c>
      <c r="N11" s="44">
        <f>M12*Inputs!$D$140/12</f>
        <v/>
      </c>
      <c r="O11" s="44">
        <f>N12*Inputs!$D$140/12</f>
        <v/>
      </c>
      <c r="P11" s="44">
        <f>O12*Inputs!$D$140/12</f>
        <v/>
      </c>
      <c r="Q11" s="44">
        <f>P12*Inputs!$D$140/12</f>
        <v/>
      </c>
      <c r="R11" s="44">
        <f>Q12*Inputs!$D$140/12</f>
        <v/>
      </c>
      <c r="S11" s="44">
        <f>R12*Inputs!$D$140/12</f>
        <v/>
      </c>
      <c r="T11" s="44">
        <f>S12*Inputs!$D$140/12</f>
        <v/>
      </c>
      <c r="U11" s="44">
        <f>T12*Inputs!$D$140/12</f>
        <v/>
      </c>
      <c r="V11" s="44">
        <f>U12*Inputs!$D$140/12</f>
        <v/>
      </c>
      <c r="W11" s="44">
        <f>V12*Inputs!$D$140/12</f>
        <v/>
      </c>
      <c r="X11" s="44">
        <f>W12*Inputs!$D$140/12</f>
        <v/>
      </c>
      <c r="Y11" s="44">
        <f>X12*Inputs!$D$140/12</f>
        <v/>
      </c>
      <c r="Z11" s="44">
        <f>Y12*Inputs!$D$140/12</f>
        <v/>
      </c>
      <c r="AA11" s="44">
        <f>Z12*Inputs!$D$140/12</f>
        <v/>
      </c>
      <c r="AB11" s="44">
        <f>AA12*Inputs!$D$140/12</f>
        <v/>
      </c>
      <c r="AC11" s="44">
        <f>AB12*Inputs!$D$140/12</f>
        <v/>
      </c>
      <c r="AD11" s="44">
        <f>AC12*Inputs!$D$140/12</f>
        <v/>
      </c>
      <c r="AE11" s="44">
        <f>AD12*Inputs!$D$140/12</f>
        <v/>
      </c>
      <c r="AF11" s="44">
        <f>AE12*Inputs!$D$140/12</f>
        <v/>
      </c>
      <c r="AG11" s="44">
        <f>AF12*Inputs!$D$140/12</f>
        <v/>
      </c>
      <c r="AH11" s="44">
        <f>AG12*Inputs!$D$140/12</f>
        <v/>
      </c>
      <c r="AI11" s="44">
        <f>AH12*Inputs!$D$140/12</f>
        <v/>
      </c>
      <c r="AJ11" s="44">
        <f>AI12*Inputs!$D$140/12</f>
        <v/>
      </c>
      <c r="AK11" s="44">
        <f>AJ12*Inputs!$D$140/12</f>
        <v/>
      </c>
      <c r="AL11" s="44">
        <f>AK12*Inputs!$D$140/12</f>
        <v/>
      </c>
      <c r="AM11" s="44">
        <f>AL12*Inputs!$D$140/12</f>
        <v/>
      </c>
      <c r="AN11" s="44">
        <f>AM12*Inputs!$D$140/12</f>
        <v/>
      </c>
      <c r="AO11" s="44">
        <f>AN12*Inputs!$D$140/12</f>
        <v/>
      </c>
      <c r="AP11" s="44">
        <f>AO12*Inputs!$D$140/12</f>
        <v/>
      </c>
      <c r="AQ11" s="44">
        <f>AP12*Inputs!$D$140/12</f>
        <v/>
      </c>
      <c r="AR11" s="44">
        <f>AQ12*Inputs!$D$140/12</f>
        <v/>
      </c>
      <c r="AS11" s="44">
        <f>AR12*Inputs!$D$140/12</f>
        <v/>
      </c>
      <c r="AT11" s="44">
        <f>AS12*Inputs!$D$140/12</f>
        <v/>
      </c>
      <c r="AU11" s="44">
        <f>AT12*Inputs!$D$140/12</f>
        <v/>
      </c>
      <c r="AV11" s="44">
        <f>AU12*Inputs!$D$140/12</f>
        <v/>
      </c>
      <c r="AW11" s="44">
        <f>AV12*Inputs!$D$140/12</f>
        <v/>
      </c>
      <c r="AX11" s="44">
        <f>AW12*Inputs!$D$140/12</f>
        <v/>
      </c>
      <c r="AY11" s="44">
        <f>AX12*Inputs!$D$140/12</f>
        <v/>
      </c>
      <c r="AZ11" s="44">
        <f>AY12*Inputs!$D$140/12</f>
        <v/>
      </c>
      <c r="BA11" s="44">
        <f>AZ12*Inputs!$D$140/12</f>
        <v/>
      </c>
      <c r="BB11" s="44">
        <f>BA12*Inputs!$D$140/12</f>
        <v/>
      </c>
      <c r="BC11" s="44">
        <f>BB12*Inputs!$D$140/12</f>
        <v/>
      </c>
      <c r="BD11" s="44">
        <f>BC12*Inputs!$D$140/12</f>
        <v/>
      </c>
      <c r="BE11" s="44">
        <f>BD12*Inputs!$D$140/12</f>
        <v/>
      </c>
      <c r="BF11" s="44">
        <f>BE12*Inputs!$D$140/12</f>
        <v/>
      </c>
      <c r="BG11" s="44">
        <f>BF12*Inputs!$D$140/12</f>
        <v/>
      </c>
      <c r="BH11" s="44">
        <f>BG12*Inputs!$D$140/12</f>
        <v/>
      </c>
      <c r="BI11" s="44">
        <f>BH12*Inputs!$D$140/12</f>
        <v/>
      </c>
      <c r="BJ11" s="44">
        <f>BI12*Inputs!$D$140/12</f>
        <v/>
      </c>
      <c r="BK11" s="44">
        <f>BJ12*Inputs!$D$140/12</f>
        <v/>
      </c>
      <c r="BM11" s="92">
        <f>SUM(D11:O11)</f>
        <v/>
      </c>
      <c r="BN11" s="92">
        <f>SUM(P11:AA11)</f>
        <v/>
      </c>
      <c r="BO11" s="92">
        <f>SUM(AB11:AM11)</f>
        <v/>
      </c>
      <c r="BP11" s="92">
        <f>SUM(AN11:AY11)</f>
        <v/>
      </c>
      <c r="BQ11" s="92">
        <f>SUM(AZ11:BK11)</f>
        <v/>
      </c>
    </row>
    <row r="12">
      <c r="B12" s="29" t="inlineStr">
        <is>
          <t xml:space="preserve">    AE headcount, closing</t>
        </is>
      </c>
      <c r="C12" s="19" t="inlineStr">
        <is>
          <t>#</t>
        </is>
      </c>
      <c r="D12" s="45">
        <f>Inputs!$D$21*(1-Inputs!$D$140/12)+D10</f>
        <v/>
      </c>
      <c r="E12" s="45">
        <f>D12*(1-Inputs!$D$140/12)+E10</f>
        <v/>
      </c>
      <c r="F12" s="45">
        <f>E12*(1-Inputs!$D$140/12)+F10</f>
        <v/>
      </c>
      <c r="G12" s="45">
        <f>F12*(1-Inputs!$D$140/12)+G10</f>
        <v/>
      </c>
      <c r="H12" s="45">
        <f>G12*(1-Inputs!$D$140/12)+H10</f>
        <v/>
      </c>
      <c r="I12" s="45">
        <f>H12*(1-Inputs!$D$140/12)+I10</f>
        <v/>
      </c>
      <c r="J12" s="45">
        <f>I12*(1-Inputs!$D$140/12)+J10</f>
        <v/>
      </c>
      <c r="K12" s="45">
        <f>J12*(1-Inputs!$D$140/12)+K10</f>
        <v/>
      </c>
      <c r="L12" s="45">
        <f>K12*(1-Inputs!$D$140/12)+L10</f>
        <v/>
      </c>
      <c r="M12" s="45">
        <f>L12*(1-Inputs!$D$140/12)+M10</f>
        <v/>
      </c>
      <c r="N12" s="45">
        <f>M12*(1-Inputs!$D$140/12)+N10</f>
        <v/>
      </c>
      <c r="O12" s="45">
        <f>N12*(1-Inputs!$D$140/12)+O10</f>
        <v/>
      </c>
      <c r="P12" s="45">
        <f>O12*(1-Inputs!$D$140/12)+P10</f>
        <v/>
      </c>
      <c r="Q12" s="45">
        <f>P12*(1-Inputs!$D$140/12)+Q10</f>
        <v/>
      </c>
      <c r="R12" s="45">
        <f>Q12*(1-Inputs!$D$140/12)+R10</f>
        <v/>
      </c>
      <c r="S12" s="45">
        <f>R12*(1-Inputs!$D$140/12)+S10</f>
        <v/>
      </c>
      <c r="T12" s="45">
        <f>S12*(1-Inputs!$D$140/12)+T10</f>
        <v/>
      </c>
      <c r="U12" s="45">
        <f>T12*(1-Inputs!$D$140/12)+U10</f>
        <v/>
      </c>
      <c r="V12" s="45">
        <f>U12*(1-Inputs!$D$140/12)+V10</f>
        <v/>
      </c>
      <c r="W12" s="45">
        <f>V12*(1-Inputs!$D$140/12)+W10</f>
        <v/>
      </c>
      <c r="X12" s="45">
        <f>W12*(1-Inputs!$D$140/12)+X10</f>
        <v/>
      </c>
      <c r="Y12" s="45">
        <f>X12*(1-Inputs!$D$140/12)+Y10</f>
        <v/>
      </c>
      <c r="Z12" s="45">
        <f>Y12*(1-Inputs!$D$140/12)+Z10</f>
        <v/>
      </c>
      <c r="AA12" s="45">
        <f>Z12*(1-Inputs!$D$140/12)+AA10</f>
        <v/>
      </c>
      <c r="AB12" s="45">
        <f>AA12*(1-Inputs!$D$140/12)+AB10</f>
        <v/>
      </c>
      <c r="AC12" s="45">
        <f>AB12*(1-Inputs!$D$140/12)+AC10</f>
        <v/>
      </c>
      <c r="AD12" s="45">
        <f>AC12*(1-Inputs!$D$140/12)+AD10</f>
        <v/>
      </c>
      <c r="AE12" s="45">
        <f>AD12*(1-Inputs!$D$140/12)+AE10</f>
        <v/>
      </c>
      <c r="AF12" s="45">
        <f>AE12*(1-Inputs!$D$140/12)+AF10</f>
        <v/>
      </c>
      <c r="AG12" s="45">
        <f>AF12*(1-Inputs!$D$140/12)+AG10</f>
        <v/>
      </c>
      <c r="AH12" s="45">
        <f>AG12*(1-Inputs!$D$140/12)+AH10</f>
        <v/>
      </c>
      <c r="AI12" s="45">
        <f>AH12*(1-Inputs!$D$140/12)+AI10</f>
        <v/>
      </c>
      <c r="AJ12" s="45">
        <f>AI12*(1-Inputs!$D$140/12)+AJ10</f>
        <v/>
      </c>
      <c r="AK12" s="45">
        <f>AJ12*(1-Inputs!$D$140/12)+AK10</f>
        <v/>
      </c>
      <c r="AL12" s="45">
        <f>AK12*(1-Inputs!$D$140/12)+AL10</f>
        <v/>
      </c>
      <c r="AM12" s="45">
        <f>AL12*(1-Inputs!$D$140/12)+AM10</f>
        <v/>
      </c>
      <c r="AN12" s="45">
        <f>AM12*(1-Inputs!$D$140/12)+AN10</f>
        <v/>
      </c>
      <c r="AO12" s="45">
        <f>AN12*(1-Inputs!$D$140/12)+AO10</f>
        <v/>
      </c>
      <c r="AP12" s="45">
        <f>AO12*(1-Inputs!$D$140/12)+AP10</f>
        <v/>
      </c>
      <c r="AQ12" s="45">
        <f>AP12*(1-Inputs!$D$140/12)+AQ10</f>
        <v/>
      </c>
      <c r="AR12" s="45">
        <f>AQ12*(1-Inputs!$D$140/12)+AR10</f>
        <v/>
      </c>
      <c r="AS12" s="45">
        <f>AR12*(1-Inputs!$D$140/12)+AS10</f>
        <v/>
      </c>
      <c r="AT12" s="45">
        <f>AS12*(1-Inputs!$D$140/12)+AT10</f>
        <v/>
      </c>
      <c r="AU12" s="45">
        <f>AT12*(1-Inputs!$D$140/12)+AU10</f>
        <v/>
      </c>
      <c r="AV12" s="45">
        <f>AU12*(1-Inputs!$D$140/12)+AV10</f>
        <v/>
      </c>
      <c r="AW12" s="45">
        <f>AV12*(1-Inputs!$D$140/12)+AW10</f>
        <v/>
      </c>
      <c r="AX12" s="45">
        <f>AW12*(1-Inputs!$D$140/12)+AX10</f>
        <v/>
      </c>
      <c r="AY12" s="45">
        <f>AX12*(1-Inputs!$D$140/12)+AY10</f>
        <v/>
      </c>
      <c r="AZ12" s="45">
        <f>AY12*(1-Inputs!$D$140/12)+AZ10</f>
        <v/>
      </c>
      <c r="BA12" s="45">
        <f>AZ12*(1-Inputs!$D$140/12)+BA10</f>
        <v/>
      </c>
      <c r="BB12" s="45">
        <f>BA12*(1-Inputs!$D$140/12)+BB10</f>
        <v/>
      </c>
      <c r="BC12" s="45">
        <f>BB12*(1-Inputs!$D$140/12)+BC10</f>
        <v/>
      </c>
      <c r="BD12" s="45">
        <f>BC12*(1-Inputs!$D$140/12)+BD10</f>
        <v/>
      </c>
      <c r="BE12" s="45">
        <f>BD12*(1-Inputs!$D$140/12)+BE10</f>
        <v/>
      </c>
      <c r="BF12" s="45">
        <f>BE12*(1-Inputs!$D$140/12)+BF10</f>
        <v/>
      </c>
      <c r="BG12" s="45">
        <f>BF12*(1-Inputs!$D$140/12)+BG10</f>
        <v/>
      </c>
      <c r="BH12" s="45">
        <f>BG12*(1-Inputs!$D$140/12)+BH10</f>
        <v/>
      </c>
      <c r="BI12" s="45">
        <f>BH12*(1-Inputs!$D$140/12)+BI10</f>
        <v/>
      </c>
      <c r="BJ12" s="45">
        <f>BI12*(1-Inputs!$D$140/12)+BJ10</f>
        <v/>
      </c>
      <c r="BK12" s="45">
        <f>BJ12*(1-Inputs!$D$140/12)+BK10</f>
        <v/>
      </c>
      <c r="BM12" s="43">
        <f>O12</f>
        <v/>
      </c>
      <c r="BN12" s="43">
        <f>AA12</f>
        <v/>
      </c>
      <c r="BO12" s="43">
        <f>AM12</f>
        <v/>
      </c>
      <c r="BP12" s="43">
        <f>AY12</f>
        <v/>
      </c>
      <c r="BQ12" s="43">
        <f>BK12</f>
        <v/>
      </c>
    </row>
    <row r="13">
      <c r="B13" s="28" t="inlineStr">
        <is>
          <t xml:space="preserve">    Unramped drag</t>
        </is>
      </c>
      <c r="C13" s="19" t="inlineStr">
        <is>
          <t>#</t>
        </is>
      </c>
      <c r="D13" s="44">
        <f>D10*(1-INDEX(Inputs!$D$25:$H$25,1,D$6-2025))</f>
        <v/>
      </c>
      <c r="E13" s="44">
        <f>E10*(1-INDEX(Inputs!$D$25:$H$25,1,E$6-2025))+D10*(1-INDEX(Inputs!$D$26:$H$26,1,E$6-2025))</f>
        <v/>
      </c>
      <c r="F13" s="44">
        <f>F10*(1-INDEX(Inputs!$D$25:$H$25,1,F$6-2025))+E10*(1-INDEX(Inputs!$D$26:$H$26,1,F$6-2025))+D10*(1-INDEX(Inputs!$D$27:$H$27,1,F$6-2025))</f>
        <v/>
      </c>
      <c r="G13" s="44">
        <f>G10*(1-INDEX(Inputs!$D$25:$H$25,1,G$6-2025))+F10*(1-INDEX(Inputs!$D$26:$H$26,1,G$6-2025))+E10*(1-INDEX(Inputs!$D$27:$H$27,1,G$6-2025))+D10*(1-INDEX(Inputs!$D$28:$H$28,1,G$6-2025))</f>
        <v/>
      </c>
      <c r="H13" s="44">
        <f>H10*(1-INDEX(Inputs!$D$25:$H$25,1,H$6-2025))+G10*(1-INDEX(Inputs!$D$26:$H$26,1,H$6-2025))+F10*(1-INDEX(Inputs!$D$27:$H$27,1,H$6-2025))+E10*(1-INDEX(Inputs!$D$28:$H$28,1,H$6-2025))+D10*(1-INDEX(Inputs!$D$29:$H$29,1,H$6-2025))</f>
        <v/>
      </c>
      <c r="I13" s="44">
        <f>I10*(1-INDEX(Inputs!$D$25:$H$25,1,I$6-2025))+H10*(1-INDEX(Inputs!$D$26:$H$26,1,I$6-2025))+G10*(1-INDEX(Inputs!$D$27:$H$27,1,I$6-2025))+F10*(1-INDEX(Inputs!$D$28:$H$28,1,I$6-2025))+E10*(1-INDEX(Inputs!$D$29:$H$29,1,I$6-2025))</f>
        <v/>
      </c>
      <c r="J13" s="44">
        <f>J10*(1-INDEX(Inputs!$D$25:$H$25,1,J$6-2025))+I10*(1-INDEX(Inputs!$D$26:$H$26,1,J$6-2025))+H10*(1-INDEX(Inputs!$D$27:$H$27,1,J$6-2025))+G10*(1-INDEX(Inputs!$D$28:$H$28,1,J$6-2025))+F10*(1-INDEX(Inputs!$D$29:$H$29,1,J$6-2025))</f>
        <v/>
      </c>
      <c r="K13" s="44">
        <f>K10*(1-INDEX(Inputs!$D$25:$H$25,1,K$6-2025))+J10*(1-INDEX(Inputs!$D$26:$H$26,1,K$6-2025))+I10*(1-INDEX(Inputs!$D$27:$H$27,1,K$6-2025))+H10*(1-INDEX(Inputs!$D$28:$H$28,1,K$6-2025))+G10*(1-INDEX(Inputs!$D$29:$H$29,1,K$6-2025))</f>
        <v/>
      </c>
      <c r="L13" s="44">
        <f>L10*(1-INDEX(Inputs!$D$25:$H$25,1,L$6-2025))+K10*(1-INDEX(Inputs!$D$26:$H$26,1,L$6-2025))+J10*(1-INDEX(Inputs!$D$27:$H$27,1,L$6-2025))+I10*(1-INDEX(Inputs!$D$28:$H$28,1,L$6-2025))+H10*(1-INDEX(Inputs!$D$29:$H$29,1,L$6-2025))</f>
        <v/>
      </c>
      <c r="M13" s="44">
        <f>M10*(1-INDEX(Inputs!$D$25:$H$25,1,M$6-2025))+L10*(1-INDEX(Inputs!$D$26:$H$26,1,M$6-2025))+K10*(1-INDEX(Inputs!$D$27:$H$27,1,M$6-2025))+J10*(1-INDEX(Inputs!$D$28:$H$28,1,M$6-2025))+I10*(1-INDEX(Inputs!$D$29:$H$29,1,M$6-2025))</f>
        <v/>
      </c>
      <c r="N13" s="44">
        <f>N10*(1-INDEX(Inputs!$D$25:$H$25,1,N$6-2025))+M10*(1-INDEX(Inputs!$D$26:$H$26,1,N$6-2025))+L10*(1-INDEX(Inputs!$D$27:$H$27,1,N$6-2025))+K10*(1-INDEX(Inputs!$D$28:$H$28,1,N$6-2025))+J10*(1-INDEX(Inputs!$D$29:$H$29,1,N$6-2025))</f>
        <v/>
      </c>
      <c r="O13" s="44">
        <f>O10*(1-INDEX(Inputs!$D$25:$H$25,1,O$6-2025))+N10*(1-INDEX(Inputs!$D$26:$H$26,1,O$6-2025))+M10*(1-INDEX(Inputs!$D$27:$H$27,1,O$6-2025))+L10*(1-INDEX(Inputs!$D$28:$H$28,1,O$6-2025))+K10*(1-INDEX(Inputs!$D$29:$H$29,1,O$6-2025))</f>
        <v/>
      </c>
      <c r="P13" s="44">
        <f>P10*(1-INDEX(Inputs!$D$25:$H$25,1,P$6-2025))+O10*(1-INDEX(Inputs!$D$26:$H$26,1,P$6-2025))+N10*(1-INDEX(Inputs!$D$27:$H$27,1,P$6-2025))+M10*(1-INDEX(Inputs!$D$28:$H$28,1,P$6-2025))+L10*(1-INDEX(Inputs!$D$29:$H$29,1,P$6-2025))</f>
        <v/>
      </c>
      <c r="Q13" s="44">
        <f>Q10*(1-INDEX(Inputs!$D$25:$H$25,1,Q$6-2025))+P10*(1-INDEX(Inputs!$D$26:$H$26,1,Q$6-2025))+O10*(1-INDEX(Inputs!$D$27:$H$27,1,Q$6-2025))+N10*(1-INDEX(Inputs!$D$28:$H$28,1,Q$6-2025))+M10*(1-INDEX(Inputs!$D$29:$H$29,1,Q$6-2025))</f>
        <v/>
      </c>
      <c r="R13" s="44">
        <f>R10*(1-INDEX(Inputs!$D$25:$H$25,1,R$6-2025))+Q10*(1-INDEX(Inputs!$D$26:$H$26,1,R$6-2025))+P10*(1-INDEX(Inputs!$D$27:$H$27,1,R$6-2025))+O10*(1-INDEX(Inputs!$D$28:$H$28,1,R$6-2025))+N10*(1-INDEX(Inputs!$D$29:$H$29,1,R$6-2025))</f>
        <v/>
      </c>
      <c r="S13" s="44">
        <f>S10*(1-INDEX(Inputs!$D$25:$H$25,1,S$6-2025))+R10*(1-INDEX(Inputs!$D$26:$H$26,1,S$6-2025))+Q10*(1-INDEX(Inputs!$D$27:$H$27,1,S$6-2025))+P10*(1-INDEX(Inputs!$D$28:$H$28,1,S$6-2025))+O10*(1-INDEX(Inputs!$D$29:$H$29,1,S$6-2025))</f>
        <v/>
      </c>
      <c r="T13" s="44">
        <f>T10*(1-INDEX(Inputs!$D$25:$H$25,1,T$6-2025))+S10*(1-INDEX(Inputs!$D$26:$H$26,1,T$6-2025))+R10*(1-INDEX(Inputs!$D$27:$H$27,1,T$6-2025))+Q10*(1-INDEX(Inputs!$D$28:$H$28,1,T$6-2025))+P10*(1-INDEX(Inputs!$D$29:$H$29,1,T$6-2025))</f>
        <v/>
      </c>
      <c r="U13" s="44">
        <f>U10*(1-INDEX(Inputs!$D$25:$H$25,1,U$6-2025))+T10*(1-INDEX(Inputs!$D$26:$H$26,1,U$6-2025))+S10*(1-INDEX(Inputs!$D$27:$H$27,1,U$6-2025))+R10*(1-INDEX(Inputs!$D$28:$H$28,1,U$6-2025))+Q10*(1-INDEX(Inputs!$D$29:$H$29,1,U$6-2025))</f>
        <v/>
      </c>
      <c r="V13" s="44">
        <f>V10*(1-INDEX(Inputs!$D$25:$H$25,1,V$6-2025))+U10*(1-INDEX(Inputs!$D$26:$H$26,1,V$6-2025))+T10*(1-INDEX(Inputs!$D$27:$H$27,1,V$6-2025))+S10*(1-INDEX(Inputs!$D$28:$H$28,1,V$6-2025))+R10*(1-INDEX(Inputs!$D$29:$H$29,1,V$6-2025))</f>
        <v/>
      </c>
      <c r="W13" s="44">
        <f>W10*(1-INDEX(Inputs!$D$25:$H$25,1,W$6-2025))+V10*(1-INDEX(Inputs!$D$26:$H$26,1,W$6-2025))+U10*(1-INDEX(Inputs!$D$27:$H$27,1,W$6-2025))+T10*(1-INDEX(Inputs!$D$28:$H$28,1,W$6-2025))+S10*(1-INDEX(Inputs!$D$29:$H$29,1,W$6-2025))</f>
        <v/>
      </c>
      <c r="X13" s="44">
        <f>X10*(1-INDEX(Inputs!$D$25:$H$25,1,X$6-2025))+W10*(1-INDEX(Inputs!$D$26:$H$26,1,X$6-2025))+V10*(1-INDEX(Inputs!$D$27:$H$27,1,X$6-2025))+U10*(1-INDEX(Inputs!$D$28:$H$28,1,X$6-2025))+T10*(1-INDEX(Inputs!$D$29:$H$29,1,X$6-2025))</f>
        <v/>
      </c>
      <c r="Y13" s="44">
        <f>Y10*(1-INDEX(Inputs!$D$25:$H$25,1,Y$6-2025))+X10*(1-INDEX(Inputs!$D$26:$H$26,1,Y$6-2025))+W10*(1-INDEX(Inputs!$D$27:$H$27,1,Y$6-2025))+V10*(1-INDEX(Inputs!$D$28:$H$28,1,Y$6-2025))+U10*(1-INDEX(Inputs!$D$29:$H$29,1,Y$6-2025))</f>
        <v/>
      </c>
      <c r="Z13" s="44">
        <f>Z10*(1-INDEX(Inputs!$D$25:$H$25,1,Z$6-2025))+Y10*(1-INDEX(Inputs!$D$26:$H$26,1,Z$6-2025))+X10*(1-INDEX(Inputs!$D$27:$H$27,1,Z$6-2025))+W10*(1-INDEX(Inputs!$D$28:$H$28,1,Z$6-2025))+V10*(1-INDEX(Inputs!$D$29:$H$29,1,Z$6-2025))</f>
        <v/>
      </c>
      <c r="AA13" s="44">
        <f>AA10*(1-INDEX(Inputs!$D$25:$H$25,1,AA$6-2025))+Z10*(1-INDEX(Inputs!$D$26:$H$26,1,AA$6-2025))+Y10*(1-INDEX(Inputs!$D$27:$H$27,1,AA$6-2025))+X10*(1-INDEX(Inputs!$D$28:$H$28,1,AA$6-2025))+W10*(1-INDEX(Inputs!$D$29:$H$29,1,AA$6-2025))</f>
        <v/>
      </c>
      <c r="AB13" s="44">
        <f>AB10*(1-INDEX(Inputs!$D$25:$H$25,1,AB$6-2025))+AA10*(1-INDEX(Inputs!$D$26:$H$26,1,AB$6-2025))+Z10*(1-INDEX(Inputs!$D$27:$H$27,1,AB$6-2025))+Y10*(1-INDEX(Inputs!$D$28:$H$28,1,AB$6-2025))+X10*(1-INDEX(Inputs!$D$29:$H$29,1,AB$6-2025))</f>
        <v/>
      </c>
      <c r="AC13" s="44">
        <f>AC10*(1-INDEX(Inputs!$D$25:$H$25,1,AC$6-2025))+AB10*(1-INDEX(Inputs!$D$26:$H$26,1,AC$6-2025))+AA10*(1-INDEX(Inputs!$D$27:$H$27,1,AC$6-2025))+Z10*(1-INDEX(Inputs!$D$28:$H$28,1,AC$6-2025))+Y10*(1-INDEX(Inputs!$D$29:$H$29,1,AC$6-2025))</f>
        <v/>
      </c>
      <c r="AD13" s="44">
        <f>AD10*(1-INDEX(Inputs!$D$25:$H$25,1,AD$6-2025))+AC10*(1-INDEX(Inputs!$D$26:$H$26,1,AD$6-2025))+AB10*(1-INDEX(Inputs!$D$27:$H$27,1,AD$6-2025))+AA10*(1-INDEX(Inputs!$D$28:$H$28,1,AD$6-2025))+Z10*(1-INDEX(Inputs!$D$29:$H$29,1,AD$6-2025))</f>
        <v/>
      </c>
      <c r="AE13" s="44">
        <f>AE10*(1-INDEX(Inputs!$D$25:$H$25,1,AE$6-2025))+AD10*(1-INDEX(Inputs!$D$26:$H$26,1,AE$6-2025))+AC10*(1-INDEX(Inputs!$D$27:$H$27,1,AE$6-2025))+AB10*(1-INDEX(Inputs!$D$28:$H$28,1,AE$6-2025))+AA10*(1-INDEX(Inputs!$D$29:$H$29,1,AE$6-2025))</f>
        <v/>
      </c>
      <c r="AF13" s="44">
        <f>AF10*(1-INDEX(Inputs!$D$25:$H$25,1,AF$6-2025))+AE10*(1-INDEX(Inputs!$D$26:$H$26,1,AF$6-2025))+AD10*(1-INDEX(Inputs!$D$27:$H$27,1,AF$6-2025))+AC10*(1-INDEX(Inputs!$D$28:$H$28,1,AF$6-2025))+AB10*(1-INDEX(Inputs!$D$29:$H$29,1,AF$6-2025))</f>
        <v/>
      </c>
      <c r="AG13" s="44">
        <f>AG10*(1-INDEX(Inputs!$D$25:$H$25,1,AG$6-2025))+AF10*(1-INDEX(Inputs!$D$26:$H$26,1,AG$6-2025))+AE10*(1-INDEX(Inputs!$D$27:$H$27,1,AG$6-2025))+AD10*(1-INDEX(Inputs!$D$28:$H$28,1,AG$6-2025))+AC10*(1-INDEX(Inputs!$D$29:$H$29,1,AG$6-2025))</f>
        <v/>
      </c>
      <c r="AH13" s="44">
        <f>AH10*(1-INDEX(Inputs!$D$25:$H$25,1,AH$6-2025))+AG10*(1-INDEX(Inputs!$D$26:$H$26,1,AH$6-2025))+AF10*(1-INDEX(Inputs!$D$27:$H$27,1,AH$6-2025))+AE10*(1-INDEX(Inputs!$D$28:$H$28,1,AH$6-2025))+AD10*(1-INDEX(Inputs!$D$29:$H$29,1,AH$6-2025))</f>
        <v/>
      </c>
      <c r="AI13" s="44">
        <f>AI10*(1-INDEX(Inputs!$D$25:$H$25,1,AI$6-2025))+AH10*(1-INDEX(Inputs!$D$26:$H$26,1,AI$6-2025))+AG10*(1-INDEX(Inputs!$D$27:$H$27,1,AI$6-2025))+AF10*(1-INDEX(Inputs!$D$28:$H$28,1,AI$6-2025))+AE10*(1-INDEX(Inputs!$D$29:$H$29,1,AI$6-2025))</f>
        <v/>
      </c>
      <c r="AJ13" s="44">
        <f>AJ10*(1-INDEX(Inputs!$D$25:$H$25,1,AJ$6-2025))+AI10*(1-INDEX(Inputs!$D$26:$H$26,1,AJ$6-2025))+AH10*(1-INDEX(Inputs!$D$27:$H$27,1,AJ$6-2025))+AG10*(1-INDEX(Inputs!$D$28:$H$28,1,AJ$6-2025))+AF10*(1-INDEX(Inputs!$D$29:$H$29,1,AJ$6-2025))</f>
        <v/>
      </c>
      <c r="AK13" s="44">
        <f>AK10*(1-INDEX(Inputs!$D$25:$H$25,1,AK$6-2025))+AJ10*(1-INDEX(Inputs!$D$26:$H$26,1,AK$6-2025))+AI10*(1-INDEX(Inputs!$D$27:$H$27,1,AK$6-2025))+AH10*(1-INDEX(Inputs!$D$28:$H$28,1,AK$6-2025))+AG10*(1-INDEX(Inputs!$D$29:$H$29,1,AK$6-2025))</f>
        <v/>
      </c>
      <c r="AL13" s="44">
        <f>AL10*(1-INDEX(Inputs!$D$25:$H$25,1,AL$6-2025))+AK10*(1-INDEX(Inputs!$D$26:$H$26,1,AL$6-2025))+AJ10*(1-INDEX(Inputs!$D$27:$H$27,1,AL$6-2025))+AI10*(1-INDEX(Inputs!$D$28:$H$28,1,AL$6-2025))+AH10*(1-INDEX(Inputs!$D$29:$H$29,1,AL$6-2025))</f>
        <v/>
      </c>
      <c r="AM13" s="44">
        <f>AM10*(1-INDEX(Inputs!$D$25:$H$25,1,AM$6-2025))+AL10*(1-INDEX(Inputs!$D$26:$H$26,1,AM$6-2025))+AK10*(1-INDEX(Inputs!$D$27:$H$27,1,AM$6-2025))+AJ10*(1-INDEX(Inputs!$D$28:$H$28,1,AM$6-2025))+AI10*(1-INDEX(Inputs!$D$29:$H$29,1,AM$6-2025))</f>
        <v/>
      </c>
      <c r="AN13" s="44">
        <f>AN10*(1-INDEX(Inputs!$D$25:$H$25,1,AN$6-2025))+AM10*(1-INDEX(Inputs!$D$26:$H$26,1,AN$6-2025))+AL10*(1-INDEX(Inputs!$D$27:$H$27,1,AN$6-2025))+AK10*(1-INDEX(Inputs!$D$28:$H$28,1,AN$6-2025))+AJ10*(1-INDEX(Inputs!$D$29:$H$29,1,AN$6-2025))</f>
        <v/>
      </c>
      <c r="AO13" s="44">
        <f>AO10*(1-INDEX(Inputs!$D$25:$H$25,1,AO$6-2025))+AN10*(1-INDEX(Inputs!$D$26:$H$26,1,AO$6-2025))+AM10*(1-INDEX(Inputs!$D$27:$H$27,1,AO$6-2025))+AL10*(1-INDEX(Inputs!$D$28:$H$28,1,AO$6-2025))+AK10*(1-INDEX(Inputs!$D$29:$H$29,1,AO$6-2025))</f>
        <v/>
      </c>
      <c r="AP13" s="44">
        <f>AP10*(1-INDEX(Inputs!$D$25:$H$25,1,AP$6-2025))+AO10*(1-INDEX(Inputs!$D$26:$H$26,1,AP$6-2025))+AN10*(1-INDEX(Inputs!$D$27:$H$27,1,AP$6-2025))+AM10*(1-INDEX(Inputs!$D$28:$H$28,1,AP$6-2025))+AL10*(1-INDEX(Inputs!$D$29:$H$29,1,AP$6-2025))</f>
        <v/>
      </c>
      <c r="AQ13" s="44">
        <f>AQ10*(1-INDEX(Inputs!$D$25:$H$25,1,AQ$6-2025))+AP10*(1-INDEX(Inputs!$D$26:$H$26,1,AQ$6-2025))+AO10*(1-INDEX(Inputs!$D$27:$H$27,1,AQ$6-2025))+AN10*(1-INDEX(Inputs!$D$28:$H$28,1,AQ$6-2025))+AM10*(1-INDEX(Inputs!$D$29:$H$29,1,AQ$6-2025))</f>
        <v/>
      </c>
      <c r="AR13" s="44">
        <f>AR10*(1-INDEX(Inputs!$D$25:$H$25,1,AR$6-2025))+AQ10*(1-INDEX(Inputs!$D$26:$H$26,1,AR$6-2025))+AP10*(1-INDEX(Inputs!$D$27:$H$27,1,AR$6-2025))+AO10*(1-INDEX(Inputs!$D$28:$H$28,1,AR$6-2025))+AN10*(1-INDEX(Inputs!$D$29:$H$29,1,AR$6-2025))</f>
        <v/>
      </c>
      <c r="AS13" s="44">
        <f>AS10*(1-INDEX(Inputs!$D$25:$H$25,1,AS$6-2025))+AR10*(1-INDEX(Inputs!$D$26:$H$26,1,AS$6-2025))+AQ10*(1-INDEX(Inputs!$D$27:$H$27,1,AS$6-2025))+AP10*(1-INDEX(Inputs!$D$28:$H$28,1,AS$6-2025))+AO10*(1-INDEX(Inputs!$D$29:$H$29,1,AS$6-2025))</f>
        <v/>
      </c>
      <c r="AT13" s="44">
        <f>AT10*(1-INDEX(Inputs!$D$25:$H$25,1,AT$6-2025))+AS10*(1-INDEX(Inputs!$D$26:$H$26,1,AT$6-2025))+AR10*(1-INDEX(Inputs!$D$27:$H$27,1,AT$6-2025))+AQ10*(1-INDEX(Inputs!$D$28:$H$28,1,AT$6-2025))+AP10*(1-INDEX(Inputs!$D$29:$H$29,1,AT$6-2025))</f>
        <v/>
      </c>
      <c r="AU13" s="44">
        <f>AU10*(1-INDEX(Inputs!$D$25:$H$25,1,AU$6-2025))+AT10*(1-INDEX(Inputs!$D$26:$H$26,1,AU$6-2025))+AS10*(1-INDEX(Inputs!$D$27:$H$27,1,AU$6-2025))+AR10*(1-INDEX(Inputs!$D$28:$H$28,1,AU$6-2025))+AQ10*(1-INDEX(Inputs!$D$29:$H$29,1,AU$6-2025))</f>
        <v/>
      </c>
      <c r="AV13" s="44">
        <f>AV10*(1-INDEX(Inputs!$D$25:$H$25,1,AV$6-2025))+AU10*(1-INDEX(Inputs!$D$26:$H$26,1,AV$6-2025))+AT10*(1-INDEX(Inputs!$D$27:$H$27,1,AV$6-2025))+AS10*(1-INDEX(Inputs!$D$28:$H$28,1,AV$6-2025))+AR10*(1-INDEX(Inputs!$D$29:$H$29,1,AV$6-2025))</f>
        <v/>
      </c>
      <c r="AW13" s="44">
        <f>AW10*(1-INDEX(Inputs!$D$25:$H$25,1,AW$6-2025))+AV10*(1-INDEX(Inputs!$D$26:$H$26,1,AW$6-2025))+AU10*(1-INDEX(Inputs!$D$27:$H$27,1,AW$6-2025))+AT10*(1-INDEX(Inputs!$D$28:$H$28,1,AW$6-2025))+AS10*(1-INDEX(Inputs!$D$29:$H$29,1,AW$6-2025))</f>
        <v/>
      </c>
      <c r="AX13" s="44">
        <f>AX10*(1-INDEX(Inputs!$D$25:$H$25,1,AX$6-2025))+AW10*(1-INDEX(Inputs!$D$26:$H$26,1,AX$6-2025))+AV10*(1-INDEX(Inputs!$D$27:$H$27,1,AX$6-2025))+AU10*(1-INDEX(Inputs!$D$28:$H$28,1,AX$6-2025))+AT10*(1-INDEX(Inputs!$D$29:$H$29,1,AX$6-2025))</f>
        <v/>
      </c>
      <c r="AY13" s="44">
        <f>AY10*(1-INDEX(Inputs!$D$25:$H$25,1,AY$6-2025))+AX10*(1-INDEX(Inputs!$D$26:$H$26,1,AY$6-2025))+AW10*(1-INDEX(Inputs!$D$27:$H$27,1,AY$6-2025))+AV10*(1-INDEX(Inputs!$D$28:$H$28,1,AY$6-2025))+AU10*(1-INDEX(Inputs!$D$29:$H$29,1,AY$6-2025))</f>
        <v/>
      </c>
      <c r="AZ13" s="44">
        <f>AZ10*(1-INDEX(Inputs!$D$25:$H$25,1,AZ$6-2025))+AY10*(1-INDEX(Inputs!$D$26:$H$26,1,AZ$6-2025))+AX10*(1-INDEX(Inputs!$D$27:$H$27,1,AZ$6-2025))+AW10*(1-INDEX(Inputs!$D$28:$H$28,1,AZ$6-2025))+AV10*(1-INDEX(Inputs!$D$29:$H$29,1,AZ$6-2025))</f>
        <v/>
      </c>
      <c r="BA13" s="44">
        <f>BA10*(1-INDEX(Inputs!$D$25:$H$25,1,BA$6-2025))+AZ10*(1-INDEX(Inputs!$D$26:$H$26,1,BA$6-2025))+AY10*(1-INDEX(Inputs!$D$27:$H$27,1,BA$6-2025))+AX10*(1-INDEX(Inputs!$D$28:$H$28,1,BA$6-2025))+AW10*(1-INDEX(Inputs!$D$29:$H$29,1,BA$6-2025))</f>
        <v/>
      </c>
      <c r="BB13" s="44">
        <f>BB10*(1-INDEX(Inputs!$D$25:$H$25,1,BB$6-2025))+BA10*(1-INDEX(Inputs!$D$26:$H$26,1,BB$6-2025))+AZ10*(1-INDEX(Inputs!$D$27:$H$27,1,BB$6-2025))+AY10*(1-INDEX(Inputs!$D$28:$H$28,1,BB$6-2025))+AX10*(1-INDEX(Inputs!$D$29:$H$29,1,BB$6-2025))</f>
        <v/>
      </c>
      <c r="BC13" s="44">
        <f>BC10*(1-INDEX(Inputs!$D$25:$H$25,1,BC$6-2025))+BB10*(1-INDEX(Inputs!$D$26:$H$26,1,BC$6-2025))+BA10*(1-INDEX(Inputs!$D$27:$H$27,1,BC$6-2025))+AZ10*(1-INDEX(Inputs!$D$28:$H$28,1,BC$6-2025))+AY10*(1-INDEX(Inputs!$D$29:$H$29,1,BC$6-2025))</f>
        <v/>
      </c>
      <c r="BD13" s="44">
        <f>BD10*(1-INDEX(Inputs!$D$25:$H$25,1,BD$6-2025))+BC10*(1-INDEX(Inputs!$D$26:$H$26,1,BD$6-2025))+BB10*(1-INDEX(Inputs!$D$27:$H$27,1,BD$6-2025))+BA10*(1-INDEX(Inputs!$D$28:$H$28,1,BD$6-2025))+AZ10*(1-INDEX(Inputs!$D$29:$H$29,1,BD$6-2025))</f>
        <v/>
      </c>
      <c r="BE13" s="44">
        <f>BE10*(1-INDEX(Inputs!$D$25:$H$25,1,BE$6-2025))+BD10*(1-INDEX(Inputs!$D$26:$H$26,1,BE$6-2025))+BC10*(1-INDEX(Inputs!$D$27:$H$27,1,BE$6-2025))+BB10*(1-INDEX(Inputs!$D$28:$H$28,1,BE$6-2025))+BA10*(1-INDEX(Inputs!$D$29:$H$29,1,BE$6-2025))</f>
        <v/>
      </c>
      <c r="BF13" s="44">
        <f>BF10*(1-INDEX(Inputs!$D$25:$H$25,1,BF$6-2025))+BE10*(1-INDEX(Inputs!$D$26:$H$26,1,BF$6-2025))+BD10*(1-INDEX(Inputs!$D$27:$H$27,1,BF$6-2025))+BC10*(1-INDEX(Inputs!$D$28:$H$28,1,BF$6-2025))+BB10*(1-INDEX(Inputs!$D$29:$H$29,1,BF$6-2025))</f>
        <v/>
      </c>
      <c r="BG13" s="44">
        <f>BG10*(1-INDEX(Inputs!$D$25:$H$25,1,BG$6-2025))+BF10*(1-INDEX(Inputs!$D$26:$H$26,1,BG$6-2025))+BE10*(1-INDEX(Inputs!$D$27:$H$27,1,BG$6-2025))+BD10*(1-INDEX(Inputs!$D$28:$H$28,1,BG$6-2025))+BC10*(1-INDEX(Inputs!$D$29:$H$29,1,BG$6-2025))</f>
        <v/>
      </c>
      <c r="BH13" s="44">
        <f>BH10*(1-INDEX(Inputs!$D$25:$H$25,1,BH$6-2025))+BG10*(1-INDEX(Inputs!$D$26:$H$26,1,BH$6-2025))+BF10*(1-INDEX(Inputs!$D$27:$H$27,1,BH$6-2025))+BE10*(1-INDEX(Inputs!$D$28:$H$28,1,BH$6-2025))+BD10*(1-INDEX(Inputs!$D$29:$H$29,1,BH$6-2025))</f>
        <v/>
      </c>
      <c r="BI13" s="44">
        <f>BI10*(1-INDEX(Inputs!$D$25:$H$25,1,BI$6-2025))+BH10*(1-INDEX(Inputs!$D$26:$H$26,1,BI$6-2025))+BG10*(1-INDEX(Inputs!$D$27:$H$27,1,BI$6-2025))+BF10*(1-INDEX(Inputs!$D$28:$H$28,1,BI$6-2025))+BE10*(1-INDEX(Inputs!$D$29:$H$29,1,BI$6-2025))</f>
        <v/>
      </c>
      <c r="BJ13" s="44">
        <f>BJ10*(1-INDEX(Inputs!$D$25:$H$25,1,BJ$6-2025))+BI10*(1-INDEX(Inputs!$D$26:$H$26,1,BJ$6-2025))+BH10*(1-INDEX(Inputs!$D$27:$H$27,1,BJ$6-2025))+BG10*(1-INDEX(Inputs!$D$28:$H$28,1,BJ$6-2025))+BF10*(1-INDEX(Inputs!$D$29:$H$29,1,BJ$6-2025))</f>
        <v/>
      </c>
      <c r="BK13" s="44">
        <f>BK10*(1-INDEX(Inputs!$D$25:$H$25,1,BK$6-2025))+BJ10*(1-INDEX(Inputs!$D$26:$H$26,1,BK$6-2025))+BI10*(1-INDEX(Inputs!$D$27:$H$27,1,BK$6-2025))+BH10*(1-INDEX(Inputs!$D$28:$H$28,1,BK$6-2025))+BG10*(1-INDEX(Inputs!$D$29:$H$29,1,BK$6-2025))</f>
        <v/>
      </c>
    </row>
    <row r="14">
      <c r="B14" s="29" t="inlineStr">
        <is>
          <t xml:space="preserve">    Productive AE equivalents</t>
        </is>
      </c>
      <c r="C14" s="19" t="inlineStr">
        <is>
          <t>#</t>
        </is>
      </c>
      <c r="D14" s="45">
        <f>MAX(D12-D13,0)</f>
        <v/>
      </c>
      <c r="E14" s="45">
        <f>MAX(E12-E13,0)</f>
        <v/>
      </c>
      <c r="F14" s="45">
        <f>MAX(F12-F13,0)</f>
        <v/>
      </c>
      <c r="G14" s="45">
        <f>MAX(G12-G13,0)</f>
        <v/>
      </c>
      <c r="H14" s="45">
        <f>MAX(H12-H13,0)</f>
        <v/>
      </c>
      <c r="I14" s="45">
        <f>MAX(I12-I13,0)</f>
        <v/>
      </c>
      <c r="J14" s="45">
        <f>MAX(J12-J13,0)</f>
        <v/>
      </c>
      <c r="K14" s="45">
        <f>MAX(K12-K13,0)</f>
        <v/>
      </c>
      <c r="L14" s="45">
        <f>MAX(L12-L13,0)</f>
        <v/>
      </c>
      <c r="M14" s="45">
        <f>MAX(M12-M13,0)</f>
        <v/>
      </c>
      <c r="N14" s="45">
        <f>MAX(N12-N13,0)</f>
        <v/>
      </c>
      <c r="O14" s="45">
        <f>MAX(O12-O13,0)</f>
        <v/>
      </c>
      <c r="P14" s="45">
        <f>MAX(P12-P13,0)</f>
        <v/>
      </c>
      <c r="Q14" s="45">
        <f>MAX(Q12-Q13,0)</f>
        <v/>
      </c>
      <c r="R14" s="45">
        <f>MAX(R12-R13,0)</f>
        <v/>
      </c>
      <c r="S14" s="45">
        <f>MAX(S12-S13,0)</f>
        <v/>
      </c>
      <c r="T14" s="45">
        <f>MAX(T12-T13,0)</f>
        <v/>
      </c>
      <c r="U14" s="45">
        <f>MAX(U12-U13,0)</f>
        <v/>
      </c>
      <c r="V14" s="45">
        <f>MAX(V12-V13,0)</f>
        <v/>
      </c>
      <c r="W14" s="45">
        <f>MAX(W12-W13,0)</f>
        <v/>
      </c>
      <c r="X14" s="45">
        <f>MAX(X12-X13,0)</f>
        <v/>
      </c>
      <c r="Y14" s="45">
        <f>MAX(Y12-Y13,0)</f>
        <v/>
      </c>
      <c r="Z14" s="45">
        <f>MAX(Z12-Z13,0)</f>
        <v/>
      </c>
      <c r="AA14" s="45">
        <f>MAX(AA12-AA13,0)</f>
        <v/>
      </c>
      <c r="AB14" s="45">
        <f>MAX(AB12-AB13,0)</f>
        <v/>
      </c>
      <c r="AC14" s="45">
        <f>MAX(AC12-AC13,0)</f>
        <v/>
      </c>
      <c r="AD14" s="45">
        <f>MAX(AD12-AD13,0)</f>
        <v/>
      </c>
      <c r="AE14" s="45">
        <f>MAX(AE12-AE13,0)</f>
        <v/>
      </c>
      <c r="AF14" s="45">
        <f>MAX(AF12-AF13,0)</f>
        <v/>
      </c>
      <c r="AG14" s="45">
        <f>MAX(AG12-AG13,0)</f>
        <v/>
      </c>
      <c r="AH14" s="45">
        <f>MAX(AH12-AH13,0)</f>
        <v/>
      </c>
      <c r="AI14" s="45">
        <f>MAX(AI12-AI13,0)</f>
        <v/>
      </c>
      <c r="AJ14" s="45">
        <f>MAX(AJ12-AJ13,0)</f>
        <v/>
      </c>
      <c r="AK14" s="45">
        <f>MAX(AK12-AK13,0)</f>
        <v/>
      </c>
      <c r="AL14" s="45">
        <f>MAX(AL12-AL13,0)</f>
        <v/>
      </c>
      <c r="AM14" s="45">
        <f>MAX(AM12-AM13,0)</f>
        <v/>
      </c>
      <c r="AN14" s="45">
        <f>MAX(AN12-AN13,0)</f>
        <v/>
      </c>
      <c r="AO14" s="45">
        <f>MAX(AO12-AO13,0)</f>
        <v/>
      </c>
      <c r="AP14" s="45">
        <f>MAX(AP12-AP13,0)</f>
        <v/>
      </c>
      <c r="AQ14" s="45">
        <f>MAX(AQ12-AQ13,0)</f>
        <v/>
      </c>
      <c r="AR14" s="45">
        <f>MAX(AR12-AR13,0)</f>
        <v/>
      </c>
      <c r="AS14" s="45">
        <f>MAX(AS12-AS13,0)</f>
        <v/>
      </c>
      <c r="AT14" s="45">
        <f>MAX(AT12-AT13,0)</f>
        <v/>
      </c>
      <c r="AU14" s="45">
        <f>MAX(AU12-AU13,0)</f>
        <v/>
      </c>
      <c r="AV14" s="45">
        <f>MAX(AV12-AV13,0)</f>
        <v/>
      </c>
      <c r="AW14" s="45">
        <f>MAX(AW12-AW13,0)</f>
        <v/>
      </c>
      <c r="AX14" s="45">
        <f>MAX(AX12-AX13,0)</f>
        <v/>
      </c>
      <c r="AY14" s="45">
        <f>MAX(AY12-AY13,0)</f>
        <v/>
      </c>
      <c r="AZ14" s="45">
        <f>MAX(AZ12-AZ13,0)</f>
        <v/>
      </c>
      <c r="BA14" s="45">
        <f>MAX(BA12-BA13,0)</f>
        <v/>
      </c>
      <c r="BB14" s="45">
        <f>MAX(BB12-BB13,0)</f>
        <v/>
      </c>
      <c r="BC14" s="45">
        <f>MAX(BC12-BC13,0)</f>
        <v/>
      </c>
      <c r="BD14" s="45">
        <f>MAX(BD12-BD13,0)</f>
        <v/>
      </c>
      <c r="BE14" s="45">
        <f>MAX(BE12-BE13,0)</f>
        <v/>
      </c>
      <c r="BF14" s="45">
        <f>MAX(BF12-BF13,0)</f>
        <v/>
      </c>
      <c r="BG14" s="45">
        <f>MAX(BG12-BG13,0)</f>
        <v/>
      </c>
      <c r="BH14" s="45">
        <f>MAX(BH12-BH13,0)</f>
        <v/>
      </c>
      <c r="BI14" s="45">
        <f>MAX(BI12-BI13,0)</f>
        <v/>
      </c>
      <c r="BJ14" s="45">
        <f>MAX(BJ12-BJ13,0)</f>
        <v/>
      </c>
      <c r="BK14" s="45">
        <f>MAX(BK12-BK13,0)</f>
        <v/>
      </c>
      <c r="BM14" s="43">
        <f>O14</f>
        <v/>
      </c>
      <c r="BN14" s="43">
        <f>AA14</f>
        <v/>
      </c>
      <c r="BO14" s="43">
        <f>AM14</f>
        <v/>
      </c>
      <c r="BP14" s="43">
        <f>AY14</f>
        <v/>
      </c>
      <c r="BQ14" s="43">
        <f>BK14</f>
        <v/>
      </c>
    </row>
    <row r="15"/>
    <row r="16">
      <c r="B16" s="3" t="inlineStr">
        <is>
          <t>SELF SERVE</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c r="AX16" s="4" t="n"/>
      <c r="AY16" s="4" t="n"/>
      <c r="AZ16" s="4" t="n"/>
      <c r="BA16" s="4" t="n"/>
      <c r="BB16" s="4" t="n"/>
      <c r="BC16" s="4" t="n"/>
      <c r="BD16" s="4" t="n"/>
      <c r="BE16" s="4" t="n"/>
      <c r="BF16" s="4" t="n"/>
      <c r="BG16" s="4" t="n"/>
      <c r="BH16" s="4" t="n"/>
      <c r="BI16" s="4" t="n"/>
      <c r="BJ16" s="4" t="n"/>
      <c r="BK16" s="4" t="n"/>
      <c r="BL16" s="4" t="n"/>
      <c r="BM16" s="4" t="n"/>
      <c r="BN16" s="4" t="n"/>
      <c r="BO16" s="4" t="n"/>
      <c r="BP16" s="4" t="n"/>
      <c r="BQ16" s="4" t="n"/>
    </row>
    <row r="17">
      <c r="B17" s="18" t="inlineStr">
        <is>
          <t xml:space="preserve">    New customers added</t>
        </is>
      </c>
      <c r="C17" s="19" t="inlineStr">
        <is>
          <t>#</t>
        </is>
      </c>
      <c r="D17" s="44">
        <f>Inputs!$D$82*(1+((1+Inputs!$D$83)^(1/12)-1))^0</f>
        <v/>
      </c>
      <c r="E17" s="44">
        <f>Inputs!$D$82*(1+((1+Inputs!$D$83)^(1/12)-1))^1</f>
        <v/>
      </c>
      <c r="F17" s="44">
        <f>Inputs!$D$82*(1+((1+Inputs!$D$83)^(1/12)-1))^2</f>
        <v/>
      </c>
      <c r="G17" s="44">
        <f>Inputs!$D$82*(1+((1+Inputs!$D$83)^(1/12)-1))^3</f>
        <v/>
      </c>
      <c r="H17" s="44">
        <f>Inputs!$D$82*(1+((1+Inputs!$D$83)^(1/12)-1))^4</f>
        <v/>
      </c>
      <c r="I17" s="44">
        <f>Inputs!$D$82*(1+((1+Inputs!$D$83)^(1/12)-1))^5</f>
        <v/>
      </c>
      <c r="J17" s="44">
        <f>Inputs!$D$82*(1+((1+Inputs!$D$83)^(1/12)-1))^6</f>
        <v/>
      </c>
      <c r="K17" s="44">
        <f>Inputs!$D$82*(1+((1+Inputs!$D$83)^(1/12)-1))^7</f>
        <v/>
      </c>
      <c r="L17" s="44">
        <f>Inputs!$D$82*(1+((1+Inputs!$D$83)^(1/12)-1))^8</f>
        <v/>
      </c>
      <c r="M17" s="44">
        <f>Inputs!$D$82*(1+((1+Inputs!$D$83)^(1/12)-1))^9</f>
        <v/>
      </c>
      <c r="N17" s="44">
        <f>Inputs!$D$82*(1+((1+Inputs!$D$83)^(1/12)-1))^10</f>
        <v/>
      </c>
      <c r="O17" s="44">
        <f>Inputs!$D$82*(1+((1+Inputs!$D$83)^(1/12)-1))^11</f>
        <v/>
      </c>
      <c r="P17" s="44">
        <f>Inputs!$D$82*(1+((1+Inputs!$D$83)^(1/12)-1))^12</f>
        <v/>
      </c>
      <c r="Q17" s="44">
        <f>Inputs!$D$82*(1+((1+Inputs!$D$83)^(1/12)-1))^13</f>
        <v/>
      </c>
      <c r="R17" s="44">
        <f>Inputs!$D$82*(1+((1+Inputs!$D$83)^(1/12)-1))^14</f>
        <v/>
      </c>
      <c r="S17" s="44">
        <f>Inputs!$D$82*(1+((1+Inputs!$D$83)^(1/12)-1))^15</f>
        <v/>
      </c>
      <c r="T17" s="44">
        <f>Inputs!$D$82*(1+((1+Inputs!$D$83)^(1/12)-1))^16</f>
        <v/>
      </c>
      <c r="U17" s="44">
        <f>Inputs!$D$82*(1+((1+Inputs!$D$83)^(1/12)-1))^17</f>
        <v/>
      </c>
      <c r="V17" s="44">
        <f>Inputs!$D$82*(1+((1+Inputs!$D$83)^(1/12)-1))^18</f>
        <v/>
      </c>
      <c r="W17" s="44">
        <f>Inputs!$D$82*(1+((1+Inputs!$D$83)^(1/12)-1))^19</f>
        <v/>
      </c>
      <c r="X17" s="44">
        <f>Inputs!$D$82*(1+((1+Inputs!$D$83)^(1/12)-1))^20</f>
        <v/>
      </c>
      <c r="Y17" s="44">
        <f>Inputs!$D$82*(1+((1+Inputs!$D$83)^(1/12)-1))^21</f>
        <v/>
      </c>
      <c r="Z17" s="44">
        <f>Inputs!$D$82*(1+((1+Inputs!$D$83)^(1/12)-1))^22</f>
        <v/>
      </c>
      <c r="AA17" s="44">
        <f>Inputs!$D$82*(1+((1+Inputs!$D$83)^(1/12)-1))^23</f>
        <v/>
      </c>
      <c r="AB17" s="44">
        <f>Inputs!$D$82*(1+((1+Inputs!$D$83)^(1/12)-1))^24</f>
        <v/>
      </c>
      <c r="AC17" s="44">
        <f>Inputs!$D$82*(1+((1+Inputs!$D$83)^(1/12)-1))^25</f>
        <v/>
      </c>
      <c r="AD17" s="44">
        <f>Inputs!$D$82*(1+((1+Inputs!$D$83)^(1/12)-1))^26</f>
        <v/>
      </c>
      <c r="AE17" s="44">
        <f>Inputs!$D$82*(1+((1+Inputs!$D$83)^(1/12)-1))^27</f>
        <v/>
      </c>
      <c r="AF17" s="44">
        <f>Inputs!$D$82*(1+((1+Inputs!$D$83)^(1/12)-1))^28</f>
        <v/>
      </c>
      <c r="AG17" s="44">
        <f>Inputs!$D$82*(1+((1+Inputs!$D$83)^(1/12)-1))^29</f>
        <v/>
      </c>
      <c r="AH17" s="44">
        <f>Inputs!$D$82*(1+((1+Inputs!$D$83)^(1/12)-1))^30</f>
        <v/>
      </c>
      <c r="AI17" s="44">
        <f>Inputs!$D$82*(1+((1+Inputs!$D$83)^(1/12)-1))^31</f>
        <v/>
      </c>
      <c r="AJ17" s="44">
        <f>Inputs!$D$82*(1+((1+Inputs!$D$83)^(1/12)-1))^32</f>
        <v/>
      </c>
      <c r="AK17" s="44">
        <f>Inputs!$D$82*(1+((1+Inputs!$D$83)^(1/12)-1))^33</f>
        <v/>
      </c>
      <c r="AL17" s="44">
        <f>Inputs!$D$82*(1+((1+Inputs!$D$83)^(1/12)-1))^34</f>
        <v/>
      </c>
      <c r="AM17" s="44">
        <f>Inputs!$D$82*(1+((1+Inputs!$D$83)^(1/12)-1))^35</f>
        <v/>
      </c>
      <c r="AN17" s="44">
        <f>Inputs!$D$82*(1+((1+Inputs!$D$83)^(1/12)-1))^36</f>
        <v/>
      </c>
      <c r="AO17" s="44">
        <f>Inputs!$D$82*(1+((1+Inputs!$D$83)^(1/12)-1))^37</f>
        <v/>
      </c>
      <c r="AP17" s="44">
        <f>Inputs!$D$82*(1+((1+Inputs!$D$83)^(1/12)-1))^38</f>
        <v/>
      </c>
      <c r="AQ17" s="44">
        <f>Inputs!$D$82*(1+((1+Inputs!$D$83)^(1/12)-1))^39</f>
        <v/>
      </c>
      <c r="AR17" s="44">
        <f>Inputs!$D$82*(1+((1+Inputs!$D$83)^(1/12)-1))^40</f>
        <v/>
      </c>
      <c r="AS17" s="44">
        <f>Inputs!$D$82*(1+((1+Inputs!$D$83)^(1/12)-1))^41</f>
        <v/>
      </c>
      <c r="AT17" s="44">
        <f>Inputs!$D$82*(1+((1+Inputs!$D$83)^(1/12)-1))^42</f>
        <v/>
      </c>
      <c r="AU17" s="44">
        <f>Inputs!$D$82*(1+((1+Inputs!$D$83)^(1/12)-1))^43</f>
        <v/>
      </c>
      <c r="AV17" s="44">
        <f>Inputs!$D$82*(1+((1+Inputs!$D$83)^(1/12)-1))^44</f>
        <v/>
      </c>
      <c r="AW17" s="44">
        <f>Inputs!$D$82*(1+((1+Inputs!$D$83)^(1/12)-1))^45</f>
        <v/>
      </c>
      <c r="AX17" s="44">
        <f>Inputs!$D$82*(1+((1+Inputs!$D$83)^(1/12)-1))^46</f>
        <v/>
      </c>
      <c r="AY17" s="44">
        <f>Inputs!$D$82*(1+((1+Inputs!$D$83)^(1/12)-1))^47</f>
        <v/>
      </c>
      <c r="AZ17" s="44">
        <f>Inputs!$D$82*(1+((1+Inputs!$D$83)^(1/12)-1))^48</f>
        <v/>
      </c>
      <c r="BA17" s="44">
        <f>Inputs!$D$82*(1+((1+Inputs!$D$83)^(1/12)-1))^49</f>
        <v/>
      </c>
      <c r="BB17" s="44">
        <f>Inputs!$D$82*(1+((1+Inputs!$D$83)^(1/12)-1))^50</f>
        <v/>
      </c>
      <c r="BC17" s="44">
        <f>Inputs!$D$82*(1+((1+Inputs!$D$83)^(1/12)-1))^51</f>
        <v/>
      </c>
      <c r="BD17" s="44">
        <f>Inputs!$D$82*(1+((1+Inputs!$D$83)^(1/12)-1))^52</f>
        <v/>
      </c>
      <c r="BE17" s="44">
        <f>Inputs!$D$82*(1+((1+Inputs!$D$83)^(1/12)-1))^53</f>
        <v/>
      </c>
      <c r="BF17" s="44">
        <f>Inputs!$D$82*(1+((1+Inputs!$D$83)^(1/12)-1))^54</f>
        <v/>
      </c>
      <c r="BG17" s="44">
        <f>Inputs!$D$82*(1+((1+Inputs!$D$83)^(1/12)-1))^55</f>
        <v/>
      </c>
      <c r="BH17" s="44">
        <f>Inputs!$D$82*(1+((1+Inputs!$D$83)^(1/12)-1))^56</f>
        <v/>
      </c>
      <c r="BI17" s="44">
        <f>Inputs!$D$82*(1+((1+Inputs!$D$83)^(1/12)-1))^57</f>
        <v/>
      </c>
      <c r="BJ17" s="44">
        <f>Inputs!$D$82*(1+((1+Inputs!$D$83)^(1/12)-1))^58</f>
        <v/>
      </c>
      <c r="BK17" s="44">
        <f>Inputs!$D$82*(1+((1+Inputs!$D$83)^(1/12)-1))^59</f>
        <v/>
      </c>
    </row>
    <row r="18">
      <c r="B18" s="18" t="inlineStr">
        <is>
          <t xml:space="preserve">    Churned customers</t>
        </is>
      </c>
      <c r="C18" s="19" t="inlineStr">
        <is>
          <t>#</t>
        </is>
      </c>
      <c r="D18" s="44">
        <f>Inputs!$D$18*Inputs!$D$84</f>
        <v/>
      </c>
      <c r="E18" s="44">
        <f>D20*Inputs!$D$84</f>
        <v/>
      </c>
      <c r="F18" s="44">
        <f>E20*Inputs!$D$84</f>
        <v/>
      </c>
      <c r="G18" s="44">
        <f>F20*Inputs!$D$84</f>
        <v/>
      </c>
      <c r="H18" s="44">
        <f>G20*Inputs!$D$84</f>
        <v/>
      </c>
      <c r="I18" s="44">
        <f>H20*Inputs!$D$84</f>
        <v/>
      </c>
      <c r="J18" s="44">
        <f>I20*Inputs!$D$84</f>
        <v/>
      </c>
      <c r="K18" s="44">
        <f>J20*Inputs!$D$84</f>
        <v/>
      </c>
      <c r="L18" s="44">
        <f>K20*Inputs!$D$84</f>
        <v/>
      </c>
      <c r="M18" s="44">
        <f>L20*Inputs!$D$84</f>
        <v/>
      </c>
      <c r="N18" s="44">
        <f>M20*Inputs!$D$84</f>
        <v/>
      </c>
      <c r="O18" s="44">
        <f>N20*Inputs!$D$84</f>
        <v/>
      </c>
      <c r="P18" s="44">
        <f>O20*Inputs!$D$84</f>
        <v/>
      </c>
      <c r="Q18" s="44">
        <f>P20*Inputs!$D$84</f>
        <v/>
      </c>
      <c r="R18" s="44">
        <f>Q20*Inputs!$D$84</f>
        <v/>
      </c>
      <c r="S18" s="44">
        <f>R20*Inputs!$D$84</f>
        <v/>
      </c>
      <c r="T18" s="44">
        <f>S20*Inputs!$D$84</f>
        <v/>
      </c>
      <c r="U18" s="44">
        <f>T20*Inputs!$D$84</f>
        <v/>
      </c>
      <c r="V18" s="44">
        <f>U20*Inputs!$D$84</f>
        <v/>
      </c>
      <c r="W18" s="44">
        <f>V20*Inputs!$D$84</f>
        <v/>
      </c>
      <c r="X18" s="44">
        <f>W20*Inputs!$D$84</f>
        <v/>
      </c>
      <c r="Y18" s="44">
        <f>X20*Inputs!$D$84</f>
        <v/>
      </c>
      <c r="Z18" s="44">
        <f>Y20*Inputs!$D$84</f>
        <v/>
      </c>
      <c r="AA18" s="44">
        <f>Z20*Inputs!$D$84</f>
        <v/>
      </c>
      <c r="AB18" s="44">
        <f>AA20*Inputs!$D$84</f>
        <v/>
      </c>
      <c r="AC18" s="44">
        <f>AB20*Inputs!$D$84</f>
        <v/>
      </c>
      <c r="AD18" s="44">
        <f>AC20*Inputs!$D$84</f>
        <v/>
      </c>
      <c r="AE18" s="44">
        <f>AD20*Inputs!$D$84</f>
        <v/>
      </c>
      <c r="AF18" s="44">
        <f>AE20*Inputs!$D$84</f>
        <v/>
      </c>
      <c r="AG18" s="44">
        <f>AF20*Inputs!$D$84</f>
        <v/>
      </c>
      <c r="AH18" s="44">
        <f>AG20*Inputs!$D$84</f>
        <v/>
      </c>
      <c r="AI18" s="44">
        <f>AH20*Inputs!$D$84</f>
        <v/>
      </c>
      <c r="AJ18" s="44">
        <f>AI20*Inputs!$D$84</f>
        <v/>
      </c>
      <c r="AK18" s="44">
        <f>AJ20*Inputs!$D$84</f>
        <v/>
      </c>
      <c r="AL18" s="44">
        <f>AK20*Inputs!$D$84</f>
        <v/>
      </c>
      <c r="AM18" s="44">
        <f>AL20*Inputs!$D$84</f>
        <v/>
      </c>
      <c r="AN18" s="44">
        <f>AM20*Inputs!$D$84</f>
        <v/>
      </c>
      <c r="AO18" s="44">
        <f>AN20*Inputs!$D$84</f>
        <v/>
      </c>
      <c r="AP18" s="44">
        <f>AO20*Inputs!$D$84</f>
        <v/>
      </c>
      <c r="AQ18" s="44">
        <f>AP20*Inputs!$D$84</f>
        <v/>
      </c>
      <c r="AR18" s="44">
        <f>AQ20*Inputs!$D$84</f>
        <v/>
      </c>
      <c r="AS18" s="44">
        <f>AR20*Inputs!$D$84</f>
        <v/>
      </c>
      <c r="AT18" s="44">
        <f>AS20*Inputs!$D$84</f>
        <v/>
      </c>
      <c r="AU18" s="44">
        <f>AT20*Inputs!$D$84</f>
        <v/>
      </c>
      <c r="AV18" s="44">
        <f>AU20*Inputs!$D$84</f>
        <v/>
      </c>
      <c r="AW18" s="44">
        <f>AV20*Inputs!$D$84</f>
        <v/>
      </c>
      <c r="AX18" s="44">
        <f>AW20*Inputs!$D$84</f>
        <v/>
      </c>
      <c r="AY18" s="44">
        <f>AX20*Inputs!$D$84</f>
        <v/>
      </c>
      <c r="AZ18" s="44">
        <f>AY20*Inputs!$D$84</f>
        <v/>
      </c>
      <c r="BA18" s="44">
        <f>AZ20*Inputs!$D$84</f>
        <v/>
      </c>
      <c r="BB18" s="44">
        <f>BA20*Inputs!$D$84</f>
        <v/>
      </c>
      <c r="BC18" s="44">
        <f>BB20*Inputs!$D$84</f>
        <v/>
      </c>
      <c r="BD18" s="44">
        <f>BC20*Inputs!$D$84</f>
        <v/>
      </c>
      <c r="BE18" s="44">
        <f>BD20*Inputs!$D$84</f>
        <v/>
      </c>
      <c r="BF18" s="44">
        <f>BE20*Inputs!$D$84</f>
        <v/>
      </c>
      <c r="BG18" s="44">
        <f>BF20*Inputs!$D$84</f>
        <v/>
      </c>
      <c r="BH18" s="44">
        <f>BG20*Inputs!$D$84</f>
        <v/>
      </c>
      <c r="BI18" s="44">
        <f>BH20*Inputs!$D$84</f>
        <v/>
      </c>
      <c r="BJ18" s="44">
        <f>BI20*Inputs!$D$84</f>
        <v/>
      </c>
      <c r="BK18" s="44">
        <f>BJ20*Inputs!$D$84</f>
        <v/>
      </c>
    </row>
    <row r="19">
      <c r="B19" s="18" t="inlineStr">
        <is>
          <t xml:space="preserve">    Converted into enterprise</t>
        </is>
      </c>
      <c r="C19" s="19" t="inlineStr">
        <is>
          <t>#</t>
        </is>
      </c>
      <c r="D19" s="44">
        <f>Inputs!$D$18*Inputs!$D$85</f>
        <v/>
      </c>
      <c r="E19" s="44">
        <f>D20*Inputs!$D$85</f>
        <v/>
      </c>
      <c r="F19" s="44">
        <f>E20*Inputs!$D$85</f>
        <v/>
      </c>
      <c r="G19" s="44">
        <f>F20*Inputs!$D$85</f>
        <v/>
      </c>
      <c r="H19" s="44">
        <f>G20*Inputs!$D$85</f>
        <v/>
      </c>
      <c r="I19" s="44">
        <f>H20*Inputs!$D$85</f>
        <v/>
      </c>
      <c r="J19" s="44">
        <f>I20*Inputs!$D$85</f>
        <v/>
      </c>
      <c r="K19" s="44">
        <f>J20*Inputs!$D$85</f>
        <v/>
      </c>
      <c r="L19" s="44">
        <f>K20*Inputs!$D$85</f>
        <v/>
      </c>
      <c r="M19" s="44">
        <f>L20*Inputs!$D$85</f>
        <v/>
      </c>
      <c r="N19" s="44">
        <f>M20*Inputs!$D$85</f>
        <v/>
      </c>
      <c r="O19" s="44">
        <f>N20*Inputs!$D$85</f>
        <v/>
      </c>
      <c r="P19" s="44">
        <f>O20*Inputs!$D$85</f>
        <v/>
      </c>
      <c r="Q19" s="44">
        <f>P20*Inputs!$D$85</f>
        <v/>
      </c>
      <c r="R19" s="44">
        <f>Q20*Inputs!$D$85</f>
        <v/>
      </c>
      <c r="S19" s="44">
        <f>R20*Inputs!$D$85</f>
        <v/>
      </c>
      <c r="T19" s="44">
        <f>S20*Inputs!$D$85</f>
        <v/>
      </c>
      <c r="U19" s="44">
        <f>T20*Inputs!$D$85</f>
        <v/>
      </c>
      <c r="V19" s="44">
        <f>U20*Inputs!$D$85</f>
        <v/>
      </c>
      <c r="W19" s="44">
        <f>V20*Inputs!$D$85</f>
        <v/>
      </c>
      <c r="X19" s="44">
        <f>W20*Inputs!$D$85</f>
        <v/>
      </c>
      <c r="Y19" s="44">
        <f>X20*Inputs!$D$85</f>
        <v/>
      </c>
      <c r="Z19" s="44">
        <f>Y20*Inputs!$D$85</f>
        <v/>
      </c>
      <c r="AA19" s="44">
        <f>Z20*Inputs!$D$85</f>
        <v/>
      </c>
      <c r="AB19" s="44">
        <f>AA20*Inputs!$D$85</f>
        <v/>
      </c>
      <c r="AC19" s="44">
        <f>AB20*Inputs!$D$85</f>
        <v/>
      </c>
      <c r="AD19" s="44">
        <f>AC20*Inputs!$D$85</f>
        <v/>
      </c>
      <c r="AE19" s="44">
        <f>AD20*Inputs!$D$85</f>
        <v/>
      </c>
      <c r="AF19" s="44">
        <f>AE20*Inputs!$D$85</f>
        <v/>
      </c>
      <c r="AG19" s="44">
        <f>AF20*Inputs!$D$85</f>
        <v/>
      </c>
      <c r="AH19" s="44">
        <f>AG20*Inputs!$D$85</f>
        <v/>
      </c>
      <c r="AI19" s="44">
        <f>AH20*Inputs!$D$85</f>
        <v/>
      </c>
      <c r="AJ19" s="44">
        <f>AI20*Inputs!$D$85</f>
        <v/>
      </c>
      <c r="AK19" s="44">
        <f>AJ20*Inputs!$D$85</f>
        <v/>
      </c>
      <c r="AL19" s="44">
        <f>AK20*Inputs!$D$85</f>
        <v/>
      </c>
      <c r="AM19" s="44">
        <f>AL20*Inputs!$D$85</f>
        <v/>
      </c>
      <c r="AN19" s="44">
        <f>AM20*Inputs!$D$85</f>
        <v/>
      </c>
      <c r="AO19" s="44">
        <f>AN20*Inputs!$D$85</f>
        <v/>
      </c>
      <c r="AP19" s="44">
        <f>AO20*Inputs!$D$85</f>
        <v/>
      </c>
      <c r="AQ19" s="44">
        <f>AP20*Inputs!$D$85</f>
        <v/>
      </c>
      <c r="AR19" s="44">
        <f>AQ20*Inputs!$D$85</f>
        <v/>
      </c>
      <c r="AS19" s="44">
        <f>AR20*Inputs!$D$85</f>
        <v/>
      </c>
      <c r="AT19" s="44">
        <f>AS20*Inputs!$D$85</f>
        <v/>
      </c>
      <c r="AU19" s="44">
        <f>AT20*Inputs!$D$85</f>
        <v/>
      </c>
      <c r="AV19" s="44">
        <f>AU20*Inputs!$D$85</f>
        <v/>
      </c>
      <c r="AW19" s="44">
        <f>AV20*Inputs!$D$85</f>
        <v/>
      </c>
      <c r="AX19" s="44">
        <f>AW20*Inputs!$D$85</f>
        <v/>
      </c>
      <c r="AY19" s="44">
        <f>AX20*Inputs!$D$85</f>
        <v/>
      </c>
      <c r="AZ19" s="44">
        <f>AY20*Inputs!$D$85</f>
        <v/>
      </c>
      <c r="BA19" s="44">
        <f>AZ20*Inputs!$D$85</f>
        <v/>
      </c>
      <c r="BB19" s="44">
        <f>BA20*Inputs!$D$85</f>
        <v/>
      </c>
      <c r="BC19" s="44">
        <f>BB20*Inputs!$D$85</f>
        <v/>
      </c>
      <c r="BD19" s="44">
        <f>BC20*Inputs!$D$85</f>
        <v/>
      </c>
      <c r="BE19" s="44">
        <f>BD20*Inputs!$D$85</f>
        <v/>
      </c>
      <c r="BF19" s="44">
        <f>BE20*Inputs!$D$85</f>
        <v/>
      </c>
      <c r="BG19" s="44">
        <f>BF20*Inputs!$D$85</f>
        <v/>
      </c>
      <c r="BH19" s="44">
        <f>BG20*Inputs!$D$85</f>
        <v/>
      </c>
      <c r="BI19" s="44">
        <f>BH20*Inputs!$D$85</f>
        <v/>
      </c>
      <c r="BJ19" s="44">
        <f>BI20*Inputs!$D$85</f>
        <v/>
      </c>
      <c r="BK19" s="44">
        <f>BJ20*Inputs!$D$85</f>
        <v/>
      </c>
    </row>
    <row r="20">
      <c r="B20" s="29" t="inlineStr">
        <is>
          <t xml:space="preserve">    Self serve customers, closing</t>
        </is>
      </c>
      <c r="C20" s="19" t="inlineStr">
        <is>
          <t>#</t>
        </is>
      </c>
      <c r="D20" s="45">
        <f>Inputs!$D$18+D17-D18-D19</f>
        <v/>
      </c>
      <c r="E20" s="45">
        <f>D20+E17-E18-E19</f>
        <v/>
      </c>
      <c r="F20" s="45">
        <f>E20+F17-F18-F19</f>
        <v/>
      </c>
      <c r="G20" s="45">
        <f>F20+G17-G18-G19</f>
        <v/>
      </c>
      <c r="H20" s="45">
        <f>G20+H17-H18-H19</f>
        <v/>
      </c>
      <c r="I20" s="45">
        <f>H20+I17-I18-I19</f>
        <v/>
      </c>
      <c r="J20" s="45">
        <f>I20+J17-J18-J19</f>
        <v/>
      </c>
      <c r="K20" s="45">
        <f>J20+K17-K18-K19</f>
        <v/>
      </c>
      <c r="L20" s="45">
        <f>K20+L17-L18-L19</f>
        <v/>
      </c>
      <c r="M20" s="45">
        <f>L20+M17-M18-M19</f>
        <v/>
      </c>
      <c r="N20" s="45">
        <f>M20+N17-N18-N19</f>
        <v/>
      </c>
      <c r="O20" s="45">
        <f>N20+O17-O18-O19</f>
        <v/>
      </c>
      <c r="P20" s="45">
        <f>O20+P17-P18-P19</f>
        <v/>
      </c>
      <c r="Q20" s="45">
        <f>P20+Q17-Q18-Q19</f>
        <v/>
      </c>
      <c r="R20" s="45">
        <f>Q20+R17-R18-R19</f>
        <v/>
      </c>
      <c r="S20" s="45">
        <f>R20+S17-S18-S19</f>
        <v/>
      </c>
      <c r="T20" s="45">
        <f>S20+T17-T18-T19</f>
        <v/>
      </c>
      <c r="U20" s="45">
        <f>T20+U17-U18-U19</f>
        <v/>
      </c>
      <c r="V20" s="45">
        <f>U20+V17-V18-V19</f>
        <v/>
      </c>
      <c r="W20" s="45">
        <f>V20+W17-W18-W19</f>
        <v/>
      </c>
      <c r="X20" s="45">
        <f>W20+X17-X18-X19</f>
        <v/>
      </c>
      <c r="Y20" s="45">
        <f>X20+Y17-Y18-Y19</f>
        <v/>
      </c>
      <c r="Z20" s="45">
        <f>Y20+Z17-Z18-Z19</f>
        <v/>
      </c>
      <c r="AA20" s="45">
        <f>Z20+AA17-AA18-AA19</f>
        <v/>
      </c>
      <c r="AB20" s="45">
        <f>AA20+AB17-AB18-AB19</f>
        <v/>
      </c>
      <c r="AC20" s="45">
        <f>AB20+AC17-AC18-AC19</f>
        <v/>
      </c>
      <c r="AD20" s="45">
        <f>AC20+AD17-AD18-AD19</f>
        <v/>
      </c>
      <c r="AE20" s="45">
        <f>AD20+AE17-AE18-AE19</f>
        <v/>
      </c>
      <c r="AF20" s="45">
        <f>AE20+AF17-AF18-AF19</f>
        <v/>
      </c>
      <c r="AG20" s="45">
        <f>AF20+AG17-AG18-AG19</f>
        <v/>
      </c>
      <c r="AH20" s="45">
        <f>AG20+AH17-AH18-AH19</f>
        <v/>
      </c>
      <c r="AI20" s="45">
        <f>AH20+AI17-AI18-AI19</f>
        <v/>
      </c>
      <c r="AJ20" s="45">
        <f>AI20+AJ17-AJ18-AJ19</f>
        <v/>
      </c>
      <c r="AK20" s="45">
        <f>AJ20+AK17-AK18-AK19</f>
        <v/>
      </c>
      <c r="AL20" s="45">
        <f>AK20+AL17-AL18-AL19</f>
        <v/>
      </c>
      <c r="AM20" s="45">
        <f>AL20+AM17-AM18-AM19</f>
        <v/>
      </c>
      <c r="AN20" s="45">
        <f>AM20+AN17-AN18-AN19</f>
        <v/>
      </c>
      <c r="AO20" s="45">
        <f>AN20+AO17-AO18-AO19</f>
        <v/>
      </c>
      <c r="AP20" s="45">
        <f>AO20+AP17-AP18-AP19</f>
        <v/>
      </c>
      <c r="AQ20" s="45">
        <f>AP20+AQ17-AQ18-AQ19</f>
        <v/>
      </c>
      <c r="AR20" s="45">
        <f>AQ20+AR17-AR18-AR19</f>
        <v/>
      </c>
      <c r="AS20" s="45">
        <f>AR20+AS17-AS18-AS19</f>
        <v/>
      </c>
      <c r="AT20" s="45">
        <f>AS20+AT17-AT18-AT19</f>
        <v/>
      </c>
      <c r="AU20" s="45">
        <f>AT20+AU17-AU18-AU19</f>
        <v/>
      </c>
      <c r="AV20" s="45">
        <f>AU20+AV17-AV18-AV19</f>
        <v/>
      </c>
      <c r="AW20" s="45">
        <f>AV20+AW17-AW18-AW19</f>
        <v/>
      </c>
      <c r="AX20" s="45">
        <f>AW20+AX17-AX18-AX19</f>
        <v/>
      </c>
      <c r="AY20" s="45">
        <f>AX20+AY17-AY18-AY19</f>
        <v/>
      </c>
      <c r="AZ20" s="45">
        <f>AY20+AZ17-AZ18-AZ19</f>
        <v/>
      </c>
      <c r="BA20" s="45">
        <f>AZ20+BA17-BA18-BA19</f>
        <v/>
      </c>
      <c r="BB20" s="45">
        <f>BA20+BB17-BB18-BB19</f>
        <v/>
      </c>
      <c r="BC20" s="45">
        <f>BB20+BC17-BC18-BC19</f>
        <v/>
      </c>
      <c r="BD20" s="45">
        <f>BC20+BD17-BD18-BD19</f>
        <v/>
      </c>
      <c r="BE20" s="45">
        <f>BD20+BE17-BE18-BE19</f>
        <v/>
      </c>
      <c r="BF20" s="45">
        <f>BE20+BF17-BF18-BF19</f>
        <v/>
      </c>
      <c r="BG20" s="45">
        <f>BF20+BG17-BG18-BG19</f>
        <v/>
      </c>
      <c r="BH20" s="45">
        <f>BG20+BH17-BH18-BH19</f>
        <v/>
      </c>
      <c r="BI20" s="45">
        <f>BH20+BI17-BI18-BI19</f>
        <v/>
      </c>
      <c r="BJ20" s="45">
        <f>BI20+BJ17-BJ18-BJ19</f>
        <v/>
      </c>
      <c r="BK20" s="45">
        <f>BJ20+BK17-BK18-BK19</f>
        <v/>
      </c>
      <c r="BM20" s="43">
        <f>O20</f>
        <v/>
      </c>
      <c r="BN20" s="43">
        <f>AA20</f>
        <v/>
      </c>
      <c r="BO20" s="43">
        <f>AM20</f>
        <v/>
      </c>
      <c r="BP20" s="43">
        <f>AY20</f>
        <v/>
      </c>
      <c r="BQ20" s="43">
        <f>BK20</f>
        <v/>
      </c>
    </row>
    <row r="21">
      <c r="B21" s="29" t="inlineStr">
        <is>
          <t xml:space="preserve">    Self serve ARR</t>
        </is>
      </c>
      <c r="C21" s="19" t="inlineStr">
        <is>
          <t>$</t>
        </is>
      </c>
      <c r="D21" s="46">
        <f>D20*Inputs!$D$78*(1+((1+Inputs!$D$79)^(1/12)-1))^0</f>
        <v/>
      </c>
      <c r="E21" s="46">
        <f>E20*Inputs!$D$78*(1+((1+Inputs!$D$79)^(1/12)-1))^1</f>
        <v/>
      </c>
      <c r="F21" s="46">
        <f>F20*Inputs!$D$78*(1+((1+Inputs!$D$79)^(1/12)-1))^2</f>
        <v/>
      </c>
      <c r="G21" s="46">
        <f>G20*Inputs!$D$78*(1+((1+Inputs!$D$79)^(1/12)-1))^3</f>
        <v/>
      </c>
      <c r="H21" s="46">
        <f>H20*Inputs!$D$78*(1+((1+Inputs!$D$79)^(1/12)-1))^4</f>
        <v/>
      </c>
      <c r="I21" s="46">
        <f>I20*Inputs!$D$78*(1+((1+Inputs!$D$79)^(1/12)-1))^5</f>
        <v/>
      </c>
      <c r="J21" s="46">
        <f>J20*Inputs!$D$78*(1+((1+Inputs!$D$79)^(1/12)-1))^6</f>
        <v/>
      </c>
      <c r="K21" s="46">
        <f>K20*Inputs!$D$78*(1+((1+Inputs!$D$79)^(1/12)-1))^7</f>
        <v/>
      </c>
      <c r="L21" s="46">
        <f>L20*Inputs!$D$78*(1+((1+Inputs!$D$79)^(1/12)-1))^8</f>
        <v/>
      </c>
      <c r="M21" s="46">
        <f>M20*Inputs!$D$78*(1+((1+Inputs!$D$79)^(1/12)-1))^9</f>
        <v/>
      </c>
      <c r="N21" s="46">
        <f>N20*Inputs!$D$78*(1+((1+Inputs!$D$79)^(1/12)-1))^10</f>
        <v/>
      </c>
      <c r="O21" s="46">
        <f>O20*Inputs!$D$78*(1+((1+Inputs!$D$79)^(1/12)-1))^11</f>
        <v/>
      </c>
      <c r="P21" s="46">
        <f>P20*Inputs!$D$78*(1+((1+Inputs!$D$79)^(1/12)-1))^12</f>
        <v/>
      </c>
      <c r="Q21" s="46">
        <f>Q20*Inputs!$D$78*(1+((1+Inputs!$D$79)^(1/12)-1))^13</f>
        <v/>
      </c>
      <c r="R21" s="46">
        <f>R20*Inputs!$D$78*(1+((1+Inputs!$D$79)^(1/12)-1))^14</f>
        <v/>
      </c>
      <c r="S21" s="46">
        <f>S20*Inputs!$D$78*(1+((1+Inputs!$D$79)^(1/12)-1))^15</f>
        <v/>
      </c>
      <c r="T21" s="46">
        <f>T20*Inputs!$D$78*(1+((1+Inputs!$D$79)^(1/12)-1))^16</f>
        <v/>
      </c>
      <c r="U21" s="46">
        <f>U20*Inputs!$D$78*(1+((1+Inputs!$D$79)^(1/12)-1))^17</f>
        <v/>
      </c>
      <c r="V21" s="46">
        <f>V20*Inputs!$D$78*(1+((1+Inputs!$D$79)^(1/12)-1))^18</f>
        <v/>
      </c>
      <c r="W21" s="46">
        <f>W20*Inputs!$D$78*(1+((1+Inputs!$D$79)^(1/12)-1))^19</f>
        <v/>
      </c>
      <c r="X21" s="46">
        <f>X20*Inputs!$D$78*(1+((1+Inputs!$D$79)^(1/12)-1))^20</f>
        <v/>
      </c>
      <c r="Y21" s="46">
        <f>Y20*Inputs!$D$78*(1+((1+Inputs!$D$79)^(1/12)-1))^21</f>
        <v/>
      </c>
      <c r="Z21" s="46">
        <f>Z20*Inputs!$D$78*(1+((1+Inputs!$D$79)^(1/12)-1))^22</f>
        <v/>
      </c>
      <c r="AA21" s="46">
        <f>AA20*Inputs!$D$78*(1+((1+Inputs!$D$79)^(1/12)-1))^23</f>
        <v/>
      </c>
      <c r="AB21" s="46">
        <f>AB20*Inputs!$D$78*(1+((1+Inputs!$D$79)^(1/12)-1))^24</f>
        <v/>
      </c>
      <c r="AC21" s="46">
        <f>AC20*Inputs!$D$78*(1+((1+Inputs!$D$79)^(1/12)-1))^25</f>
        <v/>
      </c>
      <c r="AD21" s="46">
        <f>AD20*Inputs!$D$78*(1+((1+Inputs!$D$79)^(1/12)-1))^26</f>
        <v/>
      </c>
      <c r="AE21" s="46">
        <f>AE20*Inputs!$D$78*(1+((1+Inputs!$D$79)^(1/12)-1))^27</f>
        <v/>
      </c>
      <c r="AF21" s="46">
        <f>AF20*Inputs!$D$78*(1+((1+Inputs!$D$79)^(1/12)-1))^28</f>
        <v/>
      </c>
      <c r="AG21" s="46">
        <f>AG20*Inputs!$D$78*(1+((1+Inputs!$D$79)^(1/12)-1))^29</f>
        <v/>
      </c>
      <c r="AH21" s="46">
        <f>AH20*Inputs!$D$78*(1+((1+Inputs!$D$79)^(1/12)-1))^30</f>
        <v/>
      </c>
      <c r="AI21" s="46">
        <f>AI20*Inputs!$D$78*(1+((1+Inputs!$D$79)^(1/12)-1))^31</f>
        <v/>
      </c>
      <c r="AJ21" s="46">
        <f>AJ20*Inputs!$D$78*(1+((1+Inputs!$D$79)^(1/12)-1))^32</f>
        <v/>
      </c>
      <c r="AK21" s="46">
        <f>AK20*Inputs!$D$78*(1+((1+Inputs!$D$79)^(1/12)-1))^33</f>
        <v/>
      </c>
      <c r="AL21" s="46">
        <f>AL20*Inputs!$D$78*(1+((1+Inputs!$D$79)^(1/12)-1))^34</f>
        <v/>
      </c>
      <c r="AM21" s="46">
        <f>AM20*Inputs!$D$78*(1+((1+Inputs!$D$79)^(1/12)-1))^35</f>
        <v/>
      </c>
      <c r="AN21" s="46">
        <f>AN20*Inputs!$D$78*(1+((1+Inputs!$D$79)^(1/12)-1))^36</f>
        <v/>
      </c>
      <c r="AO21" s="46">
        <f>AO20*Inputs!$D$78*(1+((1+Inputs!$D$79)^(1/12)-1))^37</f>
        <v/>
      </c>
      <c r="AP21" s="46">
        <f>AP20*Inputs!$D$78*(1+((1+Inputs!$D$79)^(1/12)-1))^38</f>
        <v/>
      </c>
      <c r="AQ21" s="46">
        <f>AQ20*Inputs!$D$78*(1+((1+Inputs!$D$79)^(1/12)-1))^39</f>
        <v/>
      </c>
      <c r="AR21" s="46">
        <f>AR20*Inputs!$D$78*(1+((1+Inputs!$D$79)^(1/12)-1))^40</f>
        <v/>
      </c>
      <c r="AS21" s="46">
        <f>AS20*Inputs!$D$78*(1+((1+Inputs!$D$79)^(1/12)-1))^41</f>
        <v/>
      </c>
      <c r="AT21" s="46">
        <f>AT20*Inputs!$D$78*(1+((1+Inputs!$D$79)^(1/12)-1))^42</f>
        <v/>
      </c>
      <c r="AU21" s="46">
        <f>AU20*Inputs!$D$78*(1+((1+Inputs!$D$79)^(1/12)-1))^43</f>
        <v/>
      </c>
      <c r="AV21" s="46">
        <f>AV20*Inputs!$D$78*(1+((1+Inputs!$D$79)^(1/12)-1))^44</f>
        <v/>
      </c>
      <c r="AW21" s="46">
        <f>AW20*Inputs!$D$78*(1+((1+Inputs!$D$79)^(1/12)-1))^45</f>
        <v/>
      </c>
      <c r="AX21" s="46">
        <f>AX20*Inputs!$D$78*(1+((1+Inputs!$D$79)^(1/12)-1))^46</f>
        <v/>
      </c>
      <c r="AY21" s="46">
        <f>AY20*Inputs!$D$78*(1+((1+Inputs!$D$79)^(1/12)-1))^47</f>
        <v/>
      </c>
      <c r="AZ21" s="46">
        <f>AZ20*Inputs!$D$78*(1+((1+Inputs!$D$79)^(1/12)-1))^48</f>
        <v/>
      </c>
      <c r="BA21" s="46">
        <f>BA20*Inputs!$D$78*(1+((1+Inputs!$D$79)^(1/12)-1))^49</f>
        <v/>
      </c>
      <c r="BB21" s="46">
        <f>BB20*Inputs!$D$78*(1+((1+Inputs!$D$79)^(1/12)-1))^50</f>
        <v/>
      </c>
      <c r="BC21" s="46">
        <f>BC20*Inputs!$D$78*(1+((1+Inputs!$D$79)^(1/12)-1))^51</f>
        <v/>
      </c>
      <c r="BD21" s="46">
        <f>BD20*Inputs!$D$78*(1+((1+Inputs!$D$79)^(1/12)-1))^52</f>
        <v/>
      </c>
      <c r="BE21" s="46">
        <f>BE20*Inputs!$D$78*(1+((1+Inputs!$D$79)^(1/12)-1))^53</f>
        <v/>
      </c>
      <c r="BF21" s="46">
        <f>BF20*Inputs!$D$78*(1+((1+Inputs!$D$79)^(1/12)-1))^54</f>
        <v/>
      </c>
      <c r="BG21" s="46">
        <f>BG20*Inputs!$D$78*(1+((1+Inputs!$D$79)^(1/12)-1))^55</f>
        <v/>
      </c>
      <c r="BH21" s="46">
        <f>BH20*Inputs!$D$78*(1+((1+Inputs!$D$79)^(1/12)-1))^56</f>
        <v/>
      </c>
      <c r="BI21" s="46">
        <f>BI20*Inputs!$D$78*(1+((1+Inputs!$D$79)^(1/12)-1))^57</f>
        <v/>
      </c>
      <c r="BJ21" s="46">
        <f>BJ20*Inputs!$D$78*(1+((1+Inputs!$D$79)^(1/12)-1))^58</f>
        <v/>
      </c>
      <c r="BK21" s="46">
        <f>BK20*Inputs!$D$78*(1+((1+Inputs!$D$79)^(1/12)-1))^59</f>
        <v/>
      </c>
      <c r="BM21" s="47">
        <f>O21</f>
        <v/>
      </c>
      <c r="BN21" s="47">
        <f>AA21</f>
        <v/>
      </c>
      <c r="BO21" s="47">
        <f>AM21</f>
        <v/>
      </c>
      <c r="BP21" s="47">
        <f>AY21</f>
        <v/>
      </c>
      <c r="BQ21" s="47">
        <f>BK21</f>
        <v/>
      </c>
    </row>
    <row r="22"/>
    <row r="23">
      <c r="B23" s="3" t="inlineStr">
        <is>
          <t>ENTERPRISE BOOKINGS</t>
        </is>
      </c>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c r="BB23" s="4" t="n"/>
      <c r="BC23" s="4" t="n"/>
      <c r="BD23" s="4" t="n"/>
      <c r="BE23" s="4" t="n"/>
      <c r="BF23" s="4" t="n"/>
      <c r="BG23" s="4" t="n"/>
      <c r="BH23" s="4" t="n"/>
      <c r="BI23" s="4" t="n"/>
      <c r="BJ23" s="4" t="n"/>
      <c r="BK23" s="4" t="n"/>
      <c r="BL23" s="4" t="n"/>
      <c r="BM23" s="4" t="n"/>
      <c r="BN23" s="4" t="n"/>
      <c r="BO23" s="4" t="n"/>
      <c r="BP23" s="4" t="n"/>
      <c r="BQ23" s="4" t="n"/>
    </row>
    <row r="24">
      <c r="B24" s="18" t="inlineStr">
        <is>
          <t xml:space="preserve">    Quota per AE per month</t>
        </is>
      </c>
      <c r="C24" s="19" t="inlineStr">
        <is>
          <t>$</t>
        </is>
      </c>
      <c r="D24" s="48">
        <f>Inputs!$D$22*(1+((1+Inputs!$D$23)^(1/12)-1))^0/12</f>
        <v/>
      </c>
      <c r="E24" s="48">
        <f>Inputs!$D$22*(1+((1+Inputs!$D$23)^(1/12)-1))^1/12</f>
        <v/>
      </c>
      <c r="F24" s="48">
        <f>Inputs!$D$22*(1+((1+Inputs!$D$23)^(1/12)-1))^2/12</f>
        <v/>
      </c>
      <c r="G24" s="48">
        <f>Inputs!$D$22*(1+((1+Inputs!$D$23)^(1/12)-1))^3/12</f>
        <v/>
      </c>
      <c r="H24" s="48">
        <f>Inputs!$D$22*(1+((1+Inputs!$D$23)^(1/12)-1))^4/12</f>
        <v/>
      </c>
      <c r="I24" s="48">
        <f>Inputs!$D$22*(1+((1+Inputs!$D$23)^(1/12)-1))^5/12</f>
        <v/>
      </c>
      <c r="J24" s="48">
        <f>Inputs!$D$22*(1+((1+Inputs!$D$23)^(1/12)-1))^6/12</f>
        <v/>
      </c>
      <c r="K24" s="48">
        <f>Inputs!$D$22*(1+((1+Inputs!$D$23)^(1/12)-1))^7/12</f>
        <v/>
      </c>
      <c r="L24" s="48">
        <f>Inputs!$D$22*(1+((1+Inputs!$D$23)^(1/12)-1))^8/12</f>
        <v/>
      </c>
      <c r="M24" s="48">
        <f>Inputs!$D$22*(1+((1+Inputs!$D$23)^(1/12)-1))^9/12</f>
        <v/>
      </c>
      <c r="N24" s="48">
        <f>Inputs!$D$22*(1+((1+Inputs!$D$23)^(1/12)-1))^10/12</f>
        <v/>
      </c>
      <c r="O24" s="48">
        <f>Inputs!$D$22*(1+((1+Inputs!$D$23)^(1/12)-1))^11/12</f>
        <v/>
      </c>
      <c r="P24" s="48">
        <f>Inputs!$D$22*(1+((1+Inputs!$D$23)^(1/12)-1))^12/12</f>
        <v/>
      </c>
      <c r="Q24" s="48">
        <f>Inputs!$D$22*(1+((1+Inputs!$D$23)^(1/12)-1))^13/12</f>
        <v/>
      </c>
      <c r="R24" s="48">
        <f>Inputs!$D$22*(1+((1+Inputs!$D$23)^(1/12)-1))^14/12</f>
        <v/>
      </c>
      <c r="S24" s="48">
        <f>Inputs!$D$22*(1+((1+Inputs!$D$23)^(1/12)-1))^15/12</f>
        <v/>
      </c>
      <c r="T24" s="48">
        <f>Inputs!$D$22*(1+((1+Inputs!$D$23)^(1/12)-1))^16/12</f>
        <v/>
      </c>
      <c r="U24" s="48">
        <f>Inputs!$D$22*(1+((1+Inputs!$D$23)^(1/12)-1))^17/12</f>
        <v/>
      </c>
      <c r="V24" s="48">
        <f>Inputs!$D$22*(1+((1+Inputs!$D$23)^(1/12)-1))^18/12</f>
        <v/>
      </c>
      <c r="W24" s="48">
        <f>Inputs!$D$22*(1+((1+Inputs!$D$23)^(1/12)-1))^19/12</f>
        <v/>
      </c>
      <c r="X24" s="48">
        <f>Inputs!$D$22*(1+((1+Inputs!$D$23)^(1/12)-1))^20/12</f>
        <v/>
      </c>
      <c r="Y24" s="48">
        <f>Inputs!$D$22*(1+((1+Inputs!$D$23)^(1/12)-1))^21/12</f>
        <v/>
      </c>
      <c r="Z24" s="48">
        <f>Inputs!$D$22*(1+((1+Inputs!$D$23)^(1/12)-1))^22/12</f>
        <v/>
      </c>
      <c r="AA24" s="48">
        <f>Inputs!$D$22*(1+((1+Inputs!$D$23)^(1/12)-1))^23/12</f>
        <v/>
      </c>
      <c r="AB24" s="48">
        <f>Inputs!$D$22*(1+((1+Inputs!$D$23)^(1/12)-1))^24/12</f>
        <v/>
      </c>
      <c r="AC24" s="48">
        <f>Inputs!$D$22*(1+((1+Inputs!$D$23)^(1/12)-1))^25/12</f>
        <v/>
      </c>
      <c r="AD24" s="48">
        <f>Inputs!$D$22*(1+((1+Inputs!$D$23)^(1/12)-1))^26/12</f>
        <v/>
      </c>
      <c r="AE24" s="48">
        <f>Inputs!$D$22*(1+((1+Inputs!$D$23)^(1/12)-1))^27/12</f>
        <v/>
      </c>
      <c r="AF24" s="48">
        <f>Inputs!$D$22*(1+((1+Inputs!$D$23)^(1/12)-1))^28/12</f>
        <v/>
      </c>
      <c r="AG24" s="48">
        <f>Inputs!$D$22*(1+((1+Inputs!$D$23)^(1/12)-1))^29/12</f>
        <v/>
      </c>
      <c r="AH24" s="48">
        <f>Inputs!$D$22*(1+((1+Inputs!$D$23)^(1/12)-1))^30/12</f>
        <v/>
      </c>
      <c r="AI24" s="48">
        <f>Inputs!$D$22*(1+((1+Inputs!$D$23)^(1/12)-1))^31/12</f>
        <v/>
      </c>
      <c r="AJ24" s="48">
        <f>Inputs!$D$22*(1+((1+Inputs!$D$23)^(1/12)-1))^32/12</f>
        <v/>
      </c>
      <c r="AK24" s="48">
        <f>Inputs!$D$22*(1+((1+Inputs!$D$23)^(1/12)-1))^33/12</f>
        <v/>
      </c>
      <c r="AL24" s="48">
        <f>Inputs!$D$22*(1+((1+Inputs!$D$23)^(1/12)-1))^34/12</f>
        <v/>
      </c>
      <c r="AM24" s="48">
        <f>Inputs!$D$22*(1+((1+Inputs!$D$23)^(1/12)-1))^35/12</f>
        <v/>
      </c>
      <c r="AN24" s="48">
        <f>Inputs!$D$22*(1+((1+Inputs!$D$23)^(1/12)-1))^36/12</f>
        <v/>
      </c>
      <c r="AO24" s="48">
        <f>Inputs!$D$22*(1+((1+Inputs!$D$23)^(1/12)-1))^37/12</f>
        <v/>
      </c>
      <c r="AP24" s="48">
        <f>Inputs!$D$22*(1+((1+Inputs!$D$23)^(1/12)-1))^38/12</f>
        <v/>
      </c>
      <c r="AQ24" s="48">
        <f>Inputs!$D$22*(1+((1+Inputs!$D$23)^(1/12)-1))^39/12</f>
        <v/>
      </c>
      <c r="AR24" s="48">
        <f>Inputs!$D$22*(1+((1+Inputs!$D$23)^(1/12)-1))^40/12</f>
        <v/>
      </c>
      <c r="AS24" s="48">
        <f>Inputs!$D$22*(1+((1+Inputs!$D$23)^(1/12)-1))^41/12</f>
        <v/>
      </c>
      <c r="AT24" s="48">
        <f>Inputs!$D$22*(1+((1+Inputs!$D$23)^(1/12)-1))^42/12</f>
        <v/>
      </c>
      <c r="AU24" s="48">
        <f>Inputs!$D$22*(1+((1+Inputs!$D$23)^(1/12)-1))^43/12</f>
        <v/>
      </c>
      <c r="AV24" s="48">
        <f>Inputs!$D$22*(1+((1+Inputs!$D$23)^(1/12)-1))^44/12</f>
        <v/>
      </c>
      <c r="AW24" s="48">
        <f>Inputs!$D$22*(1+((1+Inputs!$D$23)^(1/12)-1))^45/12</f>
        <v/>
      </c>
      <c r="AX24" s="48">
        <f>Inputs!$D$22*(1+((1+Inputs!$D$23)^(1/12)-1))^46/12</f>
        <v/>
      </c>
      <c r="AY24" s="48">
        <f>Inputs!$D$22*(1+((1+Inputs!$D$23)^(1/12)-1))^47/12</f>
        <v/>
      </c>
      <c r="AZ24" s="48">
        <f>Inputs!$D$22*(1+((1+Inputs!$D$23)^(1/12)-1))^48/12</f>
        <v/>
      </c>
      <c r="BA24" s="48">
        <f>Inputs!$D$22*(1+((1+Inputs!$D$23)^(1/12)-1))^49/12</f>
        <v/>
      </c>
      <c r="BB24" s="48">
        <f>Inputs!$D$22*(1+((1+Inputs!$D$23)^(1/12)-1))^50/12</f>
        <v/>
      </c>
      <c r="BC24" s="48">
        <f>Inputs!$D$22*(1+((1+Inputs!$D$23)^(1/12)-1))^51/12</f>
        <v/>
      </c>
      <c r="BD24" s="48">
        <f>Inputs!$D$22*(1+((1+Inputs!$D$23)^(1/12)-1))^52/12</f>
        <v/>
      </c>
      <c r="BE24" s="48">
        <f>Inputs!$D$22*(1+((1+Inputs!$D$23)^(1/12)-1))^53/12</f>
        <v/>
      </c>
      <c r="BF24" s="48">
        <f>Inputs!$D$22*(1+((1+Inputs!$D$23)^(1/12)-1))^54/12</f>
        <v/>
      </c>
      <c r="BG24" s="48">
        <f>Inputs!$D$22*(1+((1+Inputs!$D$23)^(1/12)-1))^55/12</f>
        <v/>
      </c>
      <c r="BH24" s="48">
        <f>Inputs!$D$22*(1+((1+Inputs!$D$23)^(1/12)-1))^56/12</f>
        <v/>
      </c>
      <c r="BI24" s="48">
        <f>Inputs!$D$22*(1+((1+Inputs!$D$23)^(1/12)-1))^57/12</f>
        <v/>
      </c>
      <c r="BJ24" s="48">
        <f>Inputs!$D$22*(1+((1+Inputs!$D$23)^(1/12)-1))^58/12</f>
        <v/>
      </c>
      <c r="BK24" s="48">
        <f>Inputs!$D$22*(1+((1+Inputs!$D$23)^(1/12)-1))^59/12</f>
        <v/>
      </c>
    </row>
    <row r="25">
      <c r="B25" s="18" t="inlineStr">
        <is>
          <t xml:space="preserve">    Quota attainment</t>
        </is>
      </c>
      <c r="C25" s="19" t="inlineStr">
        <is>
          <t>%</t>
        </is>
      </c>
      <c r="D25" s="49">
        <f>INDEX(Inputs!$D$42:$H$42,1,D$6-2025)</f>
        <v/>
      </c>
      <c r="E25" s="49">
        <f>INDEX(Inputs!$D$42:$H$42,1,E$6-2025)</f>
        <v/>
      </c>
      <c r="F25" s="49">
        <f>INDEX(Inputs!$D$42:$H$42,1,F$6-2025)</f>
        <v/>
      </c>
      <c r="G25" s="49">
        <f>INDEX(Inputs!$D$42:$H$42,1,G$6-2025)</f>
        <v/>
      </c>
      <c r="H25" s="49">
        <f>INDEX(Inputs!$D$42:$H$42,1,H$6-2025)</f>
        <v/>
      </c>
      <c r="I25" s="49">
        <f>INDEX(Inputs!$D$42:$H$42,1,I$6-2025)</f>
        <v/>
      </c>
      <c r="J25" s="49">
        <f>INDEX(Inputs!$D$42:$H$42,1,J$6-2025)</f>
        <v/>
      </c>
      <c r="K25" s="49">
        <f>INDEX(Inputs!$D$42:$H$42,1,K$6-2025)</f>
        <v/>
      </c>
      <c r="L25" s="49">
        <f>INDEX(Inputs!$D$42:$H$42,1,L$6-2025)</f>
        <v/>
      </c>
      <c r="M25" s="49">
        <f>INDEX(Inputs!$D$42:$H$42,1,M$6-2025)</f>
        <v/>
      </c>
      <c r="N25" s="49">
        <f>INDEX(Inputs!$D$42:$H$42,1,N$6-2025)</f>
        <v/>
      </c>
      <c r="O25" s="49">
        <f>INDEX(Inputs!$D$42:$H$42,1,O$6-2025)</f>
        <v/>
      </c>
      <c r="P25" s="49">
        <f>INDEX(Inputs!$D$42:$H$42,1,P$6-2025)</f>
        <v/>
      </c>
      <c r="Q25" s="49">
        <f>INDEX(Inputs!$D$42:$H$42,1,Q$6-2025)</f>
        <v/>
      </c>
      <c r="R25" s="49">
        <f>INDEX(Inputs!$D$42:$H$42,1,R$6-2025)</f>
        <v/>
      </c>
      <c r="S25" s="49">
        <f>INDEX(Inputs!$D$42:$H$42,1,S$6-2025)</f>
        <v/>
      </c>
      <c r="T25" s="49">
        <f>INDEX(Inputs!$D$42:$H$42,1,T$6-2025)</f>
        <v/>
      </c>
      <c r="U25" s="49">
        <f>INDEX(Inputs!$D$42:$H$42,1,U$6-2025)</f>
        <v/>
      </c>
      <c r="V25" s="49">
        <f>INDEX(Inputs!$D$42:$H$42,1,V$6-2025)</f>
        <v/>
      </c>
      <c r="W25" s="49">
        <f>INDEX(Inputs!$D$42:$H$42,1,W$6-2025)</f>
        <v/>
      </c>
      <c r="X25" s="49">
        <f>INDEX(Inputs!$D$42:$H$42,1,X$6-2025)</f>
        <v/>
      </c>
      <c r="Y25" s="49">
        <f>INDEX(Inputs!$D$42:$H$42,1,Y$6-2025)</f>
        <v/>
      </c>
      <c r="Z25" s="49">
        <f>INDEX(Inputs!$D$42:$H$42,1,Z$6-2025)</f>
        <v/>
      </c>
      <c r="AA25" s="49">
        <f>INDEX(Inputs!$D$42:$H$42,1,AA$6-2025)</f>
        <v/>
      </c>
      <c r="AB25" s="49">
        <f>INDEX(Inputs!$D$42:$H$42,1,AB$6-2025)</f>
        <v/>
      </c>
      <c r="AC25" s="49">
        <f>INDEX(Inputs!$D$42:$H$42,1,AC$6-2025)</f>
        <v/>
      </c>
      <c r="AD25" s="49">
        <f>INDEX(Inputs!$D$42:$H$42,1,AD$6-2025)</f>
        <v/>
      </c>
      <c r="AE25" s="49">
        <f>INDEX(Inputs!$D$42:$H$42,1,AE$6-2025)</f>
        <v/>
      </c>
      <c r="AF25" s="49">
        <f>INDEX(Inputs!$D$42:$H$42,1,AF$6-2025)</f>
        <v/>
      </c>
      <c r="AG25" s="49">
        <f>INDEX(Inputs!$D$42:$H$42,1,AG$6-2025)</f>
        <v/>
      </c>
      <c r="AH25" s="49">
        <f>INDEX(Inputs!$D$42:$H$42,1,AH$6-2025)</f>
        <v/>
      </c>
      <c r="AI25" s="49">
        <f>INDEX(Inputs!$D$42:$H$42,1,AI$6-2025)</f>
        <v/>
      </c>
      <c r="AJ25" s="49">
        <f>INDEX(Inputs!$D$42:$H$42,1,AJ$6-2025)</f>
        <v/>
      </c>
      <c r="AK25" s="49">
        <f>INDEX(Inputs!$D$42:$H$42,1,AK$6-2025)</f>
        <v/>
      </c>
      <c r="AL25" s="49">
        <f>INDEX(Inputs!$D$42:$H$42,1,AL$6-2025)</f>
        <v/>
      </c>
      <c r="AM25" s="49">
        <f>INDEX(Inputs!$D$42:$H$42,1,AM$6-2025)</f>
        <v/>
      </c>
      <c r="AN25" s="49">
        <f>INDEX(Inputs!$D$42:$H$42,1,AN$6-2025)</f>
        <v/>
      </c>
      <c r="AO25" s="49">
        <f>INDEX(Inputs!$D$42:$H$42,1,AO$6-2025)</f>
        <v/>
      </c>
      <c r="AP25" s="49">
        <f>INDEX(Inputs!$D$42:$H$42,1,AP$6-2025)</f>
        <v/>
      </c>
      <c r="AQ25" s="49">
        <f>INDEX(Inputs!$D$42:$H$42,1,AQ$6-2025)</f>
        <v/>
      </c>
      <c r="AR25" s="49">
        <f>INDEX(Inputs!$D$42:$H$42,1,AR$6-2025)</f>
        <v/>
      </c>
      <c r="AS25" s="49">
        <f>INDEX(Inputs!$D$42:$H$42,1,AS$6-2025)</f>
        <v/>
      </c>
      <c r="AT25" s="49">
        <f>INDEX(Inputs!$D$42:$H$42,1,AT$6-2025)</f>
        <v/>
      </c>
      <c r="AU25" s="49">
        <f>INDEX(Inputs!$D$42:$H$42,1,AU$6-2025)</f>
        <v/>
      </c>
      <c r="AV25" s="49">
        <f>INDEX(Inputs!$D$42:$H$42,1,AV$6-2025)</f>
        <v/>
      </c>
      <c r="AW25" s="49">
        <f>INDEX(Inputs!$D$42:$H$42,1,AW$6-2025)</f>
        <v/>
      </c>
      <c r="AX25" s="49">
        <f>INDEX(Inputs!$D$42:$H$42,1,AX$6-2025)</f>
        <v/>
      </c>
      <c r="AY25" s="49">
        <f>INDEX(Inputs!$D$42:$H$42,1,AY$6-2025)</f>
        <v/>
      </c>
      <c r="AZ25" s="49">
        <f>INDEX(Inputs!$D$42:$H$42,1,AZ$6-2025)</f>
        <v/>
      </c>
      <c r="BA25" s="49">
        <f>INDEX(Inputs!$D$42:$H$42,1,BA$6-2025)</f>
        <v/>
      </c>
      <c r="BB25" s="49">
        <f>INDEX(Inputs!$D$42:$H$42,1,BB$6-2025)</f>
        <v/>
      </c>
      <c r="BC25" s="49">
        <f>INDEX(Inputs!$D$42:$H$42,1,BC$6-2025)</f>
        <v/>
      </c>
      <c r="BD25" s="49">
        <f>INDEX(Inputs!$D$42:$H$42,1,BD$6-2025)</f>
        <v/>
      </c>
      <c r="BE25" s="49">
        <f>INDEX(Inputs!$D$42:$H$42,1,BE$6-2025)</f>
        <v/>
      </c>
      <c r="BF25" s="49">
        <f>INDEX(Inputs!$D$42:$H$42,1,BF$6-2025)</f>
        <v/>
      </c>
      <c r="BG25" s="49">
        <f>INDEX(Inputs!$D$42:$H$42,1,BG$6-2025)</f>
        <v/>
      </c>
      <c r="BH25" s="49">
        <f>INDEX(Inputs!$D$42:$H$42,1,BH$6-2025)</f>
        <v/>
      </c>
      <c r="BI25" s="49">
        <f>INDEX(Inputs!$D$42:$H$42,1,BI$6-2025)</f>
        <v/>
      </c>
      <c r="BJ25" s="49">
        <f>INDEX(Inputs!$D$42:$H$42,1,BJ$6-2025)</f>
        <v/>
      </c>
      <c r="BK25" s="49">
        <f>INDEX(Inputs!$D$42:$H$42,1,BK$6-2025)</f>
        <v/>
      </c>
    </row>
    <row r="26">
      <c r="B26" s="18" t="inlineStr">
        <is>
          <t xml:space="preserve">    New ARR from sales capacity</t>
        </is>
      </c>
      <c r="C26" s="19" t="inlineStr">
        <is>
          <t>$</t>
        </is>
      </c>
      <c r="D26" s="48">
        <f>D14*D24*D25</f>
        <v/>
      </c>
      <c r="E26" s="48">
        <f>E14*E24*E25</f>
        <v/>
      </c>
      <c r="F26" s="48">
        <f>F14*F24*F25</f>
        <v/>
      </c>
      <c r="G26" s="48">
        <f>G14*G24*G25</f>
        <v/>
      </c>
      <c r="H26" s="48">
        <f>H14*H24*H25</f>
        <v/>
      </c>
      <c r="I26" s="48">
        <f>I14*I24*I25</f>
        <v/>
      </c>
      <c r="J26" s="48">
        <f>J14*J24*J25</f>
        <v/>
      </c>
      <c r="K26" s="48">
        <f>K14*K24*K25</f>
        <v/>
      </c>
      <c r="L26" s="48">
        <f>L14*L24*L25</f>
        <v/>
      </c>
      <c r="M26" s="48">
        <f>M14*M24*M25</f>
        <v/>
      </c>
      <c r="N26" s="48">
        <f>N14*N24*N25</f>
        <v/>
      </c>
      <c r="O26" s="48">
        <f>O14*O24*O25</f>
        <v/>
      </c>
      <c r="P26" s="48">
        <f>P14*P24*P25</f>
        <v/>
      </c>
      <c r="Q26" s="48">
        <f>Q14*Q24*Q25</f>
        <v/>
      </c>
      <c r="R26" s="48">
        <f>R14*R24*R25</f>
        <v/>
      </c>
      <c r="S26" s="48">
        <f>S14*S24*S25</f>
        <v/>
      </c>
      <c r="T26" s="48">
        <f>T14*T24*T25</f>
        <v/>
      </c>
      <c r="U26" s="48">
        <f>U14*U24*U25</f>
        <v/>
      </c>
      <c r="V26" s="48">
        <f>V14*V24*V25</f>
        <v/>
      </c>
      <c r="W26" s="48">
        <f>W14*W24*W25</f>
        <v/>
      </c>
      <c r="X26" s="48">
        <f>X14*X24*X25</f>
        <v/>
      </c>
      <c r="Y26" s="48">
        <f>Y14*Y24*Y25</f>
        <v/>
      </c>
      <c r="Z26" s="48">
        <f>Z14*Z24*Z25</f>
        <v/>
      </c>
      <c r="AA26" s="48">
        <f>AA14*AA24*AA25</f>
        <v/>
      </c>
      <c r="AB26" s="48">
        <f>AB14*AB24*AB25</f>
        <v/>
      </c>
      <c r="AC26" s="48">
        <f>AC14*AC24*AC25</f>
        <v/>
      </c>
      <c r="AD26" s="48">
        <f>AD14*AD24*AD25</f>
        <v/>
      </c>
      <c r="AE26" s="48">
        <f>AE14*AE24*AE25</f>
        <v/>
      </c>
      <c r="AF26" s="48">
        <f>AF14*AF24*AF25</f>
        <v/>
      </c>
      <c r="AG26" s="48">
        <f>AG14*AG24*AG25</f>
        <v/>
      </c>
      <c r="AH26" s="48">
        <f>AH14*AH24*AH25</f>
        <v/>
      </c>
      <c r="AI26" s="48">
        <f>AI14*AI24*AI25</f>
        <v/>
      </c>
      <c r="AJ26" s="48">
        <f>AJ14*AJ24*AJ25</f>
        <v/>
      </c>
      <c r="AK26" s="48">
        <f>AK14*AK24*AK25</f>
        <v/>
      </c>
      <c r="AL26" s="48">
        <f>AL14*AL24*AL25</f>
        <v/>
      </c>
      <c r="AM26" s="48">
        <f>AM14*AM24*AM25</f>
        <v/>
      </c>
      <c r="AN26" s="48">
        <f>AN14*AN24*AN25</f>
        <v/>
      </c>
      <c r="AO26" s="48">
        <f>AO14*AO24*AO25</f>
        <v/>
      </c>
      <c r="AP26" s="48">
        <f>AP14*AP24*AP25</f>
        <v/>
      </c>
      <c r="AQ26" s="48">
        <f>AQ14*AQ24*AQ25</f>
        <v/>
      </c>
      <c r="AR26" s="48">
        <f>AR14*AR24*AR25</f>
        <v/>
      </c>
      <c r="AS26" s="48">
        <f>AS14*AS24*AS25</f>
        <v/>
      </c>
      <c r="AT26" s="48">
        <f>AT14*AT24*AT25</f>
        <v/>
      </c>
      <c r="AU26" s="48">
        <f>AU14*AU24*AU25</f>
        <v/>
      </c>
      <c r="AV26" s="48">
        <f>AV14*AV24*AV25</f>
        <v/>
      </c>
      <c r="AW26" s="48">
        <f>AW14*AW24*AW25</f>
        <v/>
      </c>
      <c r="AX26" s="48">
        <f>AX14*AX24*AX25</f>
        <v/>
      </c>
      <c r="AY26" s="48">
        <f>AY14*AY24*AY25</f>
        <v/>
      </c>
      <c r="AZ26" s="48">
        <f>AZ14*AZ24*AZ25</f>
        <v/>
      </c>
      <c r="BA26" s="48">
        <f>BA14*BA24*BA25</f>
        <v/>
      </c>
      <c r="BB26" s="48">
        <f>BB14*BB24*BB25</f>
        <v/>
      </c>
      <c r="BC26" s="48">
        <f>BC14*BC24*BC25</f>
        <v/>
      </c>
      <c r="BD26" s="48">
        <f>BD14*BD24*BD25</f>
        <v/>
      </c>
      <c r="BE26" s="48">
        <f>BE14*BE24*BE25</f>
        <v/>
      </c>
      <c r="BF26" s="48">
        <f>BF14*BF24*BF25</f>
        <v/>
      </c>
      <c r="BG26" s="48">
        <f>BG14*BG24*BG25</f>
        <v/>
      </c>
      <c r="BH26" s="48">
        <f>BH14*BH24*BH25</f>
        <v/>
      </c>
      <c r="BI26" s="48">
        <f>BI14*BI24*BI25</f>
        <v/>
      </c>
      <c r="BJ26" s="48">
        <f>BJ14*BJ24*BJ25</f>
        <v/>
      </c>
      <c r="BK26" s="48">
        <f>BK14*BK24*BK25</f>
        <v/>
      </c>
      <c r="BM26" s="91">
        <f>SUM(D26:O26)</f>
        <v/>
      </c>
      <c r="BN26" s="91">
        <f>SUM(P26:AA26)</f>
        <v/>
      </c>
      <c r="BO26" s="91">
        <f>SUM(AB26:AM26)</f>
        <v/>
      </c>
      <c r="BP26" s="91">
        <f>SUM(AN26:AY26)</f>
        <v/>
      </c>
      <c r="BQ26" s="91">
        <f>SUM(AZ26:BK26)</f>
        <v/>
      </c>
    </row>
    <row r="27">
      <c r="B27" s="18" t="inlineStr">
        <is>
          <t xml:space="preserve">    Enterprise ACV</t>
        </is>
      </c>
      <c r="C27" s="19" t="inlineStr">
        <is>
          <t>$</t>
        </is>
      </c>
      <c r="D27" s="48">
        <f>Inputs!$D$76*(1+((1+Inputs!$D$77)^(1/12)-1))^0</f>
        <v/>
      </c>
      <c r="E27" s="48">
        <f>Inputs!$D$76*(1+((1+Inputs!$D$77)^(1/12)-1))^1</f>
        <v/>
      </c>
      <c r="F27" s="48">
        <f>Inputs!$D$76*(1+((1+Inputs!$D$77)^(1/12)-1))^2</f>
        <v/>
      </c>
      <c r="G27" s="48">
        <f>Inputs!$D$76*(1+((1+Inputs!$D$77)^(1/12)-1))^3</f>
        <v/>
      </c>
      <c r="H27" s="48">
        <f>Inputs!$D$76*(1+((1+Inputs!$D$77)^(1/12)-1))^4</f>
        <v/>
      </c>
      <c r="I27" s="48">
        <f>Inputs!$D$76*(1+((1+Inputs!$D$77)^(1/12)-1))^5</f>
        <v/>
      </c>
      <c r="J27" s="48">
        <f>Inputs!$D$76*(1+((1+Inputs!$D$77)^(1/12)-1))^6</f>
        <v/>
      </c>
      <c r="K27" s="48">
        <f>Inputs!$D$76*(1+((1+Inputs!$D$77)^(1/12)-1))^7</f>
        <v/>
      </c>
      <c r="L27" s="48">
        <f>Inputs!$D$76*(1+((1+Inputs!$D$77)^(1/12)-1))^8</f>
        <v/>
      </c>
      <c r="M27" s="48">
        <f>Inputs!$D$76*(1+((1+Inputs!$D$77)^(1/12)-1))^9</f>
        <v/>
      </c>
      <c r="N27" s="48">
        <f>Inputs!$D$76*(1+((1+Inputs!$D$77)^(1/12)-1))^10</f>
        <v/>
      </c>
      <c r="O27" s="48">
        <f>Inputs!$D$76*(1+((1+Inputs!$D$77)^(1/12)-1))^11</f>
        <v/>
      </c>
      <c r="P27" s="48">
        <f>Inputs!$D$76*(1+((1+Inputs!$D$77)^(1/12)-1))^12</f>
        <v/>
      </c>
      <c r="Q27" s="48">
        <f>Inputs!$D$76*(1+((1+Inputs!$D$77)^(1/12)-1))^13</f>
        <v/>
      </c>
      <c r="R27" s="48">
        <f>Inputs!$D$76*(1+((1+Inputs!$D$77)^(1/12)-1))^14</f>
        <v/>
      </c>
      <c r="S27" s="48">
        <f>Inputs!$D$76*(1+((1+Inputs!$D$77)^(1/12)-1))^15</f>
        <v/>
      </c>
      <c r="T27" s="48">
        <f>Inputs!$D$76*(1+((1+Inputs!$D$77)^(1/12)-1))^16</f>
        <v/>
      </c>
      <c r="U27" s="48">
        <f>Inputs!$D$76*(1+((1+Inputs!$D$77)^(1/12)-1))^17</f>
        <v/>
      </c>
      <c r="V27" s="48">
        <f>Inputs!$D$76*(1+((1+Inputs!$D$77)^(1/12)-1))^18</f>
        <v/>
      </c>
      <c r="W27" s="48">
        <f>Inputs!$D$76*(1+((1+Inputs!$D$77)^(1/12)-1))^19</f>
        <v/>
      </c>
      <c r="X27" s="48">
        <f>Inputs!$D$76*(1+((1+Inputs!$D$77)^(1/12)-1))^20</f>
        <v/>
      </c>
      <c r="Y27" s="48">
        <f>Inputs!$D$76*(1+((1+Inputs!$D$77)^(1/12)-1))^21</f>
        <v/>
      </c>
      <c r="Z27" s="48">
        <f>Inputs!$D$76*(1+((1+Inputs!$D$77)^(1/12)-1))^22</f>
        <v/>
      </c>
      <c r="AA27" s="48">
        <f>Inputs!$D$76*(1+((1+Inputs!$D$77)^(1/12)-1))^23</f>
        <v/>
      </c>
      <c r="AB27" s="48">
        <f>Inputs!$D$76*(1+((1+Inputs!$D$77)^(1/12)-1))^24</f>
        <v/>
      </c>
      <c r="AC27" s="48">
        <f>Inputs!$D$76*(1+((1+Inputs!$D$77)^(1/12)-1))^25</f>
        <v/>
      </c>
      <c r="AD27" s="48">
        <f>Inputs!$D$76*(1+((1+Inputs!$D$77)^(1/12)-1))^26</f>
        <v/>
      </c>
      <c r="AE27" s="48">
        <f>Inputs!$D$76*(1+((1+Inputs!$D$77)^(1/12)-1))^27</f>
        <v/>
      </c>
      <c r="AF27" s="48">
        <f>Inputs!$D$76*(1+((1+Inputs!$D$77)^(1/12)-1))^28</f>
        <v/>
      </c>
      <c r="AG27" s="48">
        <f>Inputs!$D$76*(1+((1+Inputs!$D$77)^(1/12)-1))^29</f>
        <v/>
      </c>
      <c r="AH27" s="48">
        <f>Inputs!$D$76*(1+((1+Inputs!$D$77)^(1/12)-1))^30</f>
        <v/>
      </c>
      <c r="AI27" s="48">
        <f>Inputs!$D$76*(1+((1+Inputs!$D$77)^(1/12)-1))^31</f>
        <v/>
      </c>
      <c r="AJ27" s="48">
        <f>Inputs!$D$76*(1+((1+Inputs!$D$77)^(1/12)-1))^32</f>
        <v/>
      </c>
      <c r="AK27" s="48">
        <f>Inputs!$D$76*(1+((1+Inputs!$D$77)^(1/12)-1))^33</f>
        <v/>
      </c>
      <c r="AL27" s="48">
        <f>Inputs!$D$76*(1+((1+Inputs!$D$77)^(1/12)-1))^34</f>
        <v/>
      </c>
      <c r="AM27" s="48">
        <f>Inputs!$D$76*(1+((1+Inputs!$D$77)^(1/12)-1))^35</f>
        <v/>
      </c>
      <c r="AN27" s="48">
        <f>Inputs!$D$76*(1+((1+Inputs!$D$77)^(1/12)-1))^36</f>
        <v/>
      </c>
      <c r="AO27" s="48">
        <f>Inputs!$D$76*(1+((1+Inputs!$D$77)^(1/12)-1))^37</f>
        <v/>
      </c>
      <c r="AP27" s="48">
        <f>Inputs!$D$76*(1+((1+Inputs!$D$77)^(1/12)-1))^38</f>
        <v/>
      </c>
      <c r="AQ27" s="48">
        <f>Inputs!$D$76*(1+((1+Inputs!$D$77)^(1/12)-1))^39</f>
        <v/>
      </c>
      <c r="AR27" s="48">
        <f>Inputs!$D$76*(1+((1+Inputs!$D$77)^(1/12)-1))^40</f>
        <v/>
      </c>
      <c r="AS27" s="48">
        <f>Inputs!$D$76*(1+((1+Inputs!$D$77)^(1/12)-1))^41</f>
        <v/>
      </c>
      <c r="AT27" s="48">
        <f>Inputs!$D$76*(1+((1+Inputs!$D$77)^(1/12)-1))^42</f>
        <v/>
      </c>
      <c r="AU27" s="48">
        <f>Inputs!$D$76*(1+((1+Inputs!$D$77)^(1/12)-1))^43</f>
        <v/>
      </c>
      <c r="AV27" s="48">
        <f>Inputs!$D$76*(1+((1+Inputs!$D$77)^(1/12)-1))^44</f>
        <v/>
      </c>
      <c r="AW27" s="48">
        <f>Inputs!$D$76*(1+((1+Inputs!$D$77)^(1/12)-1))^45</f>
        <v/>
      </c>
      <c r="AX27" s="48">
        <f>Inputs!$D$76*(1+((1+Inputs!$D$77)^(1/12)-1))^46</f>
        <v/>
      </c>
      <c r="AY27" s="48">
        <f>Inputs!$D$76*(1+((1+Inputs!$D$77)^(1/12)-1))^47</f>
        <v/>
      </c>
      <c r="AZ27" s="48">
        <f>Inputs!$D$76*(1+((1+Inputs!$D$77)^(1/12)-1))^48</f>
        <v/>
      </c>
      <c r="BA27" s="48">
        <f>Inputs!$D$76*(1+((1+Inputs!$D$77)^(1/12)-1))^49</f>
        <v/>
      </c>
      <c r="BB27" s="48">
        <f>Inputs!$D$76*(1+((1+Inputs!$D$77)^(1/12)-1))^50</f>
        <v/>
      </c>
      <c r="BC27" s="48">
        <f>Inputs!$D$76*(1+((1+Inputs!$D$77)^(1/12)-1))^51</f>
        <v/>
      </c>
      <c r="BD27" s="48">
        <f>Inputs!$D$76*(1+((1+Inputs!$D$77)^(1/12)-1))^52</f>
        <v/>
      </c>
      <c r="BE27" s="48">
        <f>Inputs!$D$76*(1+((1+Inputs!$D$77)^(1/12)-1))^53</f>
        <v/>
      </c>
      <c r="BF27" s="48">
        <f>Inputs!$D$76*(1+((1+Inputs!$D$77)^(1/12)-1))^54</f>
        <v/>
      </c>
      <c r="BG27" s="48">
        <f>Inputs!$D$76*(1+((1+Inputs!$D$77)^(1/12)-1))^55</f>
        <v/>
      </c>
      <c r="BH27" s="48">
        <f>Inputs!$D$76*(1+((1+Inputs!$D$77)^(1/12)-1))^56</f>
        <v/>
      </c>
      <c r="BI27" s="48">
        <f>Inputs!$D$76*(1+((1+Inputs!$D$77)^(1/12)-1))^57</f>
        <v/>
      </c>
      <c r="BJ27" s="48">
        <f>Inputs!$D$76*(1+((1+Inputs!$D$77)^(1/12)-1))^58</f>
        <v/>
      </c>
      <c r="BK27" s="48">
        <f>Inputs!$D$76*(1+((1+Inputs!$D$77)^(1/12)-1))^59</f>
        <v/>
      </c>
    </row>
    <row r="28">
      <c r="B28" s="18" t="inlineStr">
        <is>
          <t xml:space="preserve">    New ARR from self serve conversions</t>
        </is>
      </c>
      <c r="C28" s="19" t="inlineStr">
        <is>
          <t>$</t>
        </is>
      </c>
      <c r="D28" s="48">
        <f>D19*D27</f>
        <v/>
      </c>
      <c r="E28" s="48">
        <f>E19*E27</f>
        <v/>
      </c>
      <c r="F28" s="48">
        <f>F19*F27</f>
        <v/>
      </c>
      <c r="G28" s="48">
        <f>G19*G27</f>
        <v/>
      </c>
      <c r="H28" s="48">
        <f>H19*H27</f>
        <v/>
      </c>
      <c r="I28" s="48">
        <f>I19*I27</f>
        <v/>
      </c>
      <c r="J28" s="48">
        <f>J19*J27</f>
        <v/>
      </c>
      <c r="K28" s="48">
        <f>K19*K27</f>
        <v/>
      </c>
      <c r="L28" s="48">
        <f>L19*L27</f>
        <v/>
      </c>
      <c r="M28" s="48">
        <f>M19*M27</f>
        <v/>
      </c>
      <c r="N28" s="48">
        <f>N19*N27</f>
        <v/>
      </c>
      <c r="O28" s="48">
        <f>O19*O27</f>
        <v/>
      </c>
      <c r="P28" s="48">
        <f>P19*P27</f>
        <v/>
      </c>
      <c r="Q28" s="48">
        <f>Q19*Q27</f>
        <v/>
      </c>
      <c r="R28" s="48">
        <f>R19*R27</f>
        <v/>
      </c>
      <c r="S28" s="48">
        <f>S19*S27</f>
        <v/>
      </c>
      <c r="T28" s="48">
        <f>T19*T27</f>
        <v/>
      </c>
      <c r="U28" s="48">
        <f>U19*U27</f>
        <v/>
      </c>
      <c r="V28" s="48">
        <f>V19*V27</f>
        <v/>
      </c>
      <c r="W28" s="48">
        <f>W19*W27</f>
        <v/>
      </c>
      <c r="X28" s="48">
        <f>X19*X27</f>
        <v/>
      </c>
      <c r="Y28" s="48">
        <f>Y19*Y27</f>
        <v/>
      </c>
      <c r="Z28" s="48">
        <f>Z19*Z27</f>
        <v/>
      </c>
      <c r="AA28" s="48">
        <f>AA19*AA27</f>
        <v/>
      </c>
      <c r="AB28" s="48">
        <f>AB19*AB27</f>
        <v/>
      </c>
      <c r="AC28" s="48">
        <f>AC19*AC27</f>
        <v/>
      </c>
      <c r="AD28" s="48">
        <f>AD19*AD27</f>
        <v/>
      </c>
      <c r="AE28" s="48">
        <f>AE19*AE27</f>
        <v/>
      </c>
      <c r="AF28" s="48">
        <f>AF19*AF27</f>
        <v/>
      </c>
      <c r="AG28" s="48">
        <f>AG19*AG27</f>
        <v/>
      </c>
      <c r="AH28" s="48">
        <f>AH19*AH27</f>
        <v/>
      </c>
      <c r="AI28" s="48">
        <f>AI19*AI27</f>
        <v/>
      </c>
      <c r="AJ28" s="48">
        <f>AJ19*AJ27</f>
        <v/>
      </c>
      <c r="AK28" s="48">
        <f>AK19*AK27</f>
        <v/>
      </c>
      <c r="AL28" s="48">
        <f>AL19*AL27</f>
        <v/>
      </c>
      <c r="AM28" s="48">
        <f>AM19*AM27</f>
        <v/>
      </c>
      <c r="AN28" s="48">
        <f>AN19*AN27</f>
        <v/>
      </c>
      <c r="AO28" s="48">
        <f>AO19*AO27</f>
        <v/>
      </c>
      <c r="AP28" s="48">
        <f>AP19*AP27</f>
        <v/>
      </c>
      <c r="AQ28" s="48">
        <f>AQ19*AQ27</f>
        <v/>
      </c>
      <c r="AR28" s="48">
        <f>AR19*AR27</f>
        <v/>
      </c>
      <c r="AS28" s="48">
        <f>AS19*AS27</f>
        <v/>
      </c>
      <c r="AT28" s="48">
        <f>AT19*AT27</f>
        <v/>
      </c>
      <c r="AU28" s="48">
        <f>AU19*AU27</f>
        <v/>
      </c>
      <c r="AV28" s="48">
        <f>AV19*AV27</f>
        <v/>
      </c>
      <c r="AW28" s="48">
        <f>AW19*AW27</f>
        <v/>
      </c>
      <c r="AX28" s="48">
        <f>AX19*AX27</f>
        <v/>
      </c>
      <c r="AY28" s="48">
        <f>AY19*AY27</f>
        <v/>
      </c>
      <c r="AZ28" s="48">
        <f>AZ19*AZ27</f>
        <v/>
      </c>
      <c r="BA28" s="48">
        <f>BA19*BA27</f>
        <v/>
      </c>
      <c r="BB28" s="48">
        <f>BB19*BB27</f>
        <v/>
      </c>
      <c r="BC28" s="48">
        <f>BC19*BC27</f>
        <v/>
      </c>
      <c r="BD28" s="48">
        <f>BD19*BD27</f>
        <v/>
      </c>
      <c r="BE28" s="48">
        <f>BE19*BE27</f>
        <v/>
      </c>
      <c r="BF28" s="48">
        <f>BF19*BF27</f>
        <v/>
      </c>
      <c r="BG28" s="48">
        <f>BG19*BG27</f>
        <v/>
      </c>
      <c r="BH28" s="48">
        <f>BH19*BH27</f>
        <v/>
      </c>
      <c r="BI28" s="48">
        <f>BI19*BI27</f>
        <v/>
      </c>
      <c r="BJ28" s="48">
        <f>BJ19*BJ27</f>
        <v/>
      </c>
      <c r="BK28" s="48">
        <f>BK19*BK27</f>
        <v/>
      </c>
      <c r="BM28" s="91">
        <f>SUM(D28:O28)</f>
        <v/>
      </c>
      <c r="BN28" s="91">
        <f>SUM(P28:AA28)</f>
        <v/>
      </c>
      <c r="BO28" s="91">
        <f>SUM(AB28:AM28)</f>
        <v/>
      </c>
      <c r="BP28" s="91">
        <f>SUM(AN28:AY28)</f>
        <v/>
      </c>
      <c r="BQ28" s="91">
        <f>SUM(AZ28:BK28)</f>
        <v/>
      </c>
    </row>
    <row r="29">
      <c r="B29" s="29" t="inlineStr">
        <is>
          <t xml:space="preserve">    Total new enterprise ARR</t>
        </is>
      </c>
      <c r="C29" s="19" t="inlineStr">
        <is>
          <t>$</t>
        </is>
      </c>
      <c r="D29" s="46">
        <f>D26+D28</f>
        <v/>
      </c>
      <c r="E29" s="46">
        <f>E26+E28</f>
        <v/>
      </c>
      <c r="F29" s="46">
        <f>F26+F28</f>
        <v/>
      </c>
      <c r="G29" s="46">
        <f>G26+G28</f>
        <v/>
      </c>
      <c r="H29" s="46">
        <f>H26+H28</f>
        <v/>
      </c>
      <c r="I29" s="46">
        <f>I26+I28</f>
        <v/>
      </c>
      <c r="J29" s="46">
        <f>J26+J28</f>
        <v/>
      </c>
      <c r="K29" s="46">
        <f>K26+K28</f>
        <v/>
      </c>
      <c r="L29" s="46">
        <f>L26+L28</f>
        <v/>
      </c>
      <c r="M29" s="46">
        <f>M26+M28</f>
        <v/>
      </c>
      <c r="N29" s="46">
        <f>N26+N28</f>
        <v/>
      </c>
      <c r="O29" s="46">
        <f>O26+O28</f>
        <v/>
      </c>
      <c r="P29" s="46">
        <f>P26+P28</f>
        <v/>
      </c>
      <c r="Q29" s="46">
        <f>Q26+Q28</f>
        <v/>
      </c>
      <c r="R29" s="46">
        <f>R26+R28</f>
        <v/>
      </c>
      <c r="S29" s="46">
        <f>S26+S28</f>
        <v/>
      </c>
      <c r="T29" s="46">
        <f>T26+T28</f>
        <v/>
      </c>
      <c r="U29" s="46">
        <f>U26+U28</f>
        <v/>
      </c>
      <c r="V29" s="46">
        <f>V26+V28</f>
        <v/>
      </c>
      <c r="W29" s="46">
        <f>W26+W28</f>
        <v/>
      </c>
      <c r="X29" s="46">
        <f>X26+X28</f>
        <v/>
      </c>
      <c r="Y29" s="46">
        <f>Y26+Y28</f>
        <v/>
      </c>
      <c r="Z29" s="46">
        <f>Z26+Z28</f>
        <v/>
      </c>
      <c r="AA29" s="46">
        <f>AA26+AA28</f>
        <v/>
      </c>
      <c r="AB29" s="46">
        <f>AB26+AB28</f>
        <v/>
      </c>
      <c r="AC29" s="46">
        <f>AC26+AC28</f>
        <v/>
      </c>
      <c r="AD29" s="46">
        <f>AD26+AD28</f>
        <v/>
      </c>
      <c r="AE29" s="46">
        <f>AE26+AE28</f>
        <v/>
      </c>
      <c r="AF29" s="46">
        <f>AF26+AF28</f>
        <v/>
      </c>
      <c r="AG29" s="46">
        <f>AG26+AG28</f>
        <v/>
      </c>
      <c r="AH29" s="46">
        <f>AH26+AH28</f>
        <v/>
      </c>
      <c r="AI29" s="46">
        <f>AI26+AI28</f>
        <v/>
      </c>
      <c r="AJ29" s="46">
        <f>AJ26+AJ28</f>
        <v/>
      </c>
      <c r="AK29" s="46">
        <f>AK26+AK28</f>
        <v/>
      </c>
      <c r="AL29" s="46">
        <f>AL26+AL28</f>
        <v/>
      </c>
      <c r="AM29" s="46">
        <f>AM26+AM28</f>
        <v/>
      </c>
      <c r="AN29" s="46">
        <f>AN26+AN28</f>
        <v/>
      </c>
      <c r="AO29" s="46">
        <f>AO26+AO28</f>
        <v/>
      </c>
      <c r="AP29" s="46">
        <f>AP26+AP28</f>
        <v/>
      </c>
      <c r="AQ29" s="46">
        <f>AQ26+AQ28</f>
        <v/>
      </c>
      <c r="AR29" s="46">
        <f>AR26+AR28</f>
        <v/>
      </c>
      <c r="AS29" s="46">
        <f>AS26+AS28</f>
        <v/>
      </c>
      <c r="AT29" s="46">
        <f>AT26+AT28</f>
        <v/>
      </c>
      <c r="AU29" s="46">
        <f>AU26+AU28</f>
        <v/>
      </c>
      <c r="AV29" s="46">
        <f>AV26+AV28</f>
        <v/>
      </c>
      <c r="AW29" s="46">
        <f>AW26+AW28</f>
        <v/>
      </c>
      <c r="AX29" s="46">
        <f>AX26+AX28</f>
        <v/>
      </c>
      <c r="AY29" s="46">
        <f>AY26+AY28</f>
        <v/>
      </c>
      <c r="AZ29" s="46">
        <f>AZ26+AZ28</f>
        <v/>
      </c>
      <c r="BA29" s="46">
        <f>BA26+BA28</f>
        <v/>
      </c>
      <c r="BB29" s="46">
        <f>BB26+BB28</f>
        <v/>
      </c>
      <c r="BC29" s="46">
        <f>BC26+BC28</f>
        <v/>
      </c>
      <c r="BD29" s="46">
        <f>BD26+BD28</f>
        <v/>
      </c>
      <c r="BE29" s="46">
        <f>BE26+BE28</f>
        <v/>
      </c>
      <c r="BF29" s="46">
        <f>BF26+BF28</f>
        <v/>
      </c>
      <c r="BG29" s="46">
        <f>BG26+BG28</f>
        <v/>
      </c>
      <c r="BH29" s="46">
        <f>BH26+BH28</f>
        <v/>
      </c>
      <c r="BI29" s="46">
        <f>BI26+BI28</f>
        <v/>
      </c>
      <c r="BJ29" s="46">
        <f>BJ26+BJ28</f>
        <v/>
      </c>
      <c r="BK29" s="46">
        <f>BK26+BK28</f>
        <v/>
      </c>
      <c r="BM29" s="91">
        <f>SUM(D29:O29)</f>
        <v/>
      </c>
      <c r="BN29" s="91">
        <f>SUM(P29:AA29)</f>
        <v/>
      </c>
      <c r="BO29" s="91">
        <f>SUM(AB29:AM29)</f>
        <v/>
      </c>
      <c r="BP29" s="91">
        <f>SUM(AN29:AY29)</f>
        <v/>
      </c>
      <c r="BQ29" s="91">
        <f>SUM(AZ29:BK29)</f>
        <v/>
      </c>
    </row>
    <row r="30">
      <c r="B30" s="18" t="inlineStr">
        <is>
          <t xml:space="preserve">    New logos</t>
        </is>
      </c>
      <c r="C30" s="19" t="inlineStr">
        <is>
          <t>#</t>
        </is>
      </c>
      <c r="D30" s="44">
        <f>D29/D27</f>
        <v/>
      </c>
      <c r="E30" s="44">
        <f>E29/E27</f>
        <v/>
      </c>
      <c r="F30" s="44">
        <f>F29/F27</f>
        <v/>
      </c>
      <c r="G30" s="44">
        <f>G29/G27</f>
        <v/>
      </c>
      <c r="H30" s="44">
        <f>H29/H27</f>
        <v/>
      </c>
      <c r="I30" s="44">
        <f>I29/I27</f>
        <v/>
      </c>
      <c r="J30" s="44">
        <f>J29/J27</f>
        <v/>
      </c>
      <c r="K30" s="44">
        <f>K29/K27</f>
        <v/>
      </c>
      <c r="L30" s="44">
        <f>L29/L27</f>
        <v/>
      </c>
      <c r="M30" s="44">
        <f>M29/M27</f>
        <v/>
      </c>
      <c r="N30" s="44">
        <f>N29/N27</f>
        <v/>
      </c>
      <c r="O30" s="44">
        <f>O29/O27</f>
        <v/>
      </c>
      <c r="P30" s="44">
        <f>P29/P27</f>
        <v/>
      </c>
      <c r="Q30" s="44">
        <f>Q29/Q27</f>
        <v/>
      </c>
      <c r="R30" s="44">
        <f>R29/R27</f>
        <v/>
      </c>
      <c r="S30" s="44">
        <f>S29/S27</f>
        <v/>
      </c>
      <c r="T30" s="44">
        <f>T29/T27</f>
        <v/>
      </c>
      <c r="U30" s="44">
        <f>U29/U27</f>
        <v/>
      </c>
      <c r="V30" s="44">
        <f>V29/V27</f>
        <v/>
      </c>
      <c r="W30" s="44">
        <f>W29/W27</f>
        <v/>
      </c>
      <c r="X30" s="44">
        <f>X29/X27</f>
        <v/>
      </c>
      <c r="Y30" s="44">
        <f>Y29/Y27</f>
        <v/>
      </c>
      <c r="Z30" s="44">
        <f>Z29/Z27</f>
        <v/>
      </c>
      <c r="AA30" s="44">
        <f>AA29/AA27</f>
        <v/>
      </c>
      <c r="AB30" s="44">
        <f>AB29/AB27</f>
        <v/>
      </c>
      <c r="AC30" s="44">
        <f>AC29/AC27</f>
        <v/>
      </c>
      <c r="AD30" s="44">
        <f>AD29/AD27</f>
        <v/>
      </c>
      <c r="AE30" s="44">
        <f>AE29/AE27</f>
        <v/>
      </c>
      <c r="AF30" s="44">
        <f>AF29/AF27</f>
        <v/>
      </c>
      <c r="AG30" s="44">
        <f>AG29/AG27</f>
        <v/>
      </c>
      <c r="AH30" s="44">
        <f>AH29/AH27</f>
        <v/>
      </c>
      <c r="AI30" s="44">
        <f>AI29/AI27</f>
        <v/>
      </c>
      <c r="AJ30" s="44">
        <f>AJ29/AJ27</f>
        <v/>
      </c>
      <c r="AK30" s="44">
        <f>AK29/AK27</f>
        <v/>
      </c>
      <c r="AL30" s="44">
        <f>AL29/AL27</f>
        <v/>
      </c>
      <c r="AM30" s="44">
        <f>AM29/AM27</f>
        <v/>
      </c>
      <c r="AN30" s="44">
        <f>AN29/AN27</f>
        <v/>
      </c>
      <c r="AO30" s="44">
        <f>AO29/AO27</f>
        <v/>
      </c>
      <c r="AP30" s="44">
        <f>AP29/AP27</f>
        <v/>
      </c>
      <c r="AQ30" s="44">
        <f>AQ29/AQ27</f>
        <v/>
      </c>
      <c r="AR30" s="44">
        <f>AR29/AR27</f>
        <v/>
      </c>
      <c r="AS30" s="44">
        <f>AS29/AS27</f>
        <v/>
      </c>
      <c r="AT30" s="44">
        <f>AT29/AT27</f>
        <v/>
      </c>
      <c r="AU30" s="44">
        <f>AU29/AU27</f>
        <v/>
      </c>
      <c r="AV30" s="44">
        <f>AV29/AV27</f>
        <v/>
      </c>
      <c r="AW30" s="44">
        <f>AW29/AW27</f>
        <v/>
      </c>
      <c r="AX30" s="44">
        <f>AX29/AX27</f>
        <v/>
      </c>
      <c r="AY30" s="44">
        <f>AY29/AY27</f>
        <v/>
      </c>
      <c r="AZ30" s="44">
        <f>AZ29/AZ27</f>
        <v/>
      </c>
      <c r="BA30" s="44">
        <f>BA29/BA27</f>
        <v/>
      </c>
      <c r="BB30" s="44">
        <f>BB29/BB27</f>
        <v/>
      </c>
      <c r="BC30" s="44">
        <f>BC29/BC27</f>
        <v/>
      </c>
      <c r="BD30" s="44">
        <f>BD29/BD27</f>
        <v/>
      </c>
      <c r="BE30" s="44">
        <f>BE29/BE27</f>
        <v/>
      </c>
      <c r="BF30" s="44">
        <f>BF29/BF27</f>
        <v/>
      </c>
      <c r="BG30" s="44">
        <f>BG29/BG27</f>
        <v/>
      </c>
      <c r="BH30" s="44">
        <f>BH29/BH27</f>
        <v/>
      </c>
      <c r="BI30" s="44">
        <f>BI29/BI27</f>
        <v/>
      </c>
      <c r="BJ30" s="44">
        <f>BJ29/BJ27</f>
        <v/>
      </c>
      <c r="BK30" s="44">
        <f>BK29/BK27</f>
        <v/>
      </c>
      <c r="BM30" s="92">
        <f>SUM(D30:O30)</f>
        <v/>
      </c>
      <c r="BN30" s="92">
        <f>SUM(P30:AA30)</f>
        <v/>
      </c>
      <c r="BO30" s="92">
        <f>SUM(AB30:AM30)</f>
        <v/>
      </c>
      <c r="BP30" s="92">
        <f>SUM(AN30:AY30)</f>
        <v/>
      </c>
      <c r="BQ30" s="92">
        <f>SUM(AZ30:BK30)</f>
        <v/>
      </c>
    </row>
  </sheetData>
  <pageMargins left="0.75" right="0.75" top="1" bottom="1" header="0.5" footer="0.5"/>
  <pageSetup orientation="portrait" horizontalDpi="0" verticalDpi="0"/>
</worksheet>
</file>

<file path=xl/worksheets/sheet4.xml><?xml version="1.0" encoding="utf-8"?>
<worksheet xmlns="http://schemas.openxmlformats.org/spreadsheetml/2006/main">
  <sheetPr>
    <tabColor rgb="FF2E7D32"/>
    <outlinePr summaryBelow="1" summaryRight="1"/>
    <pageSetUpPr/>
  </sheetPr>
  <dimension ref="A1:BQ98"/>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outlineLevelRow="1"/>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Revenue: Dollar Cohort Triangle</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RETENTION DRIVERS</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18" t="inlineStr">
        <is>
          <t xml:space="preserve">    Seat and usage expansion, monthly</t>
        </is>
      </c>
      <c r="C10" s="19" t="inlineStr">
        <is>
          <t>%</t>
        </is>
      </c>
      <c r="D10" s="50">
        <f>(1+INDEX(Inputs!$D$69:$H$69,1,D$6-2025))^(1/12)-1</f>
        <v/>
      </c>
      <c r="E10" s="50">
        <f>(1+INDEX(Inputs!$D$69:$H$69,1,E$6-2025))^(1/12)-1</f>
        <v/>
      </c>
      <c r="F10" s="50">
        <f>(1+INDEX(Inputs!$D$69:$H$69,1,F$6-2025))^(1/12)-1</f>
        <v/>
      </c>
      <c r="G10" s="50">
        <f>(1+INDEX(Inputs!$D$69:$H$69,1,G$6-2025))^(1/12)-1</f>
        <v/>
      </c>
      <c r="H10" s="50">
        <f>(1+INDEX(Inputs!$D$69:$H$69,1,H$6-2025))^(1/12)-1</f>
        <v/>
      </c>
      <c r="I10" s="50">
        <f>(1+INDEX(Inputs!$D$69:$H$69,1,I$6-2025))^(1/12)-1</f>
        <v/>
      </c>
      <c r="J10" s="50">
        <f>(1+INDEX(Inputs!$D$69:$H$69,1,J$6-2025))^(1/12)-1</f>
        <v/>
      </c>
      <c r="K10" s="50">
        <f>(1+INDEX(Inputs!$D$69:$H$69,1,K$6-2025))^(1/12)-1</f>
        <v/>
      </c>
      <c r="L10" s="50">
        <f>(1+INDEX(Inputs!$D$69:$H$69,1,L$6-2025))^(1/12)-1</f>
        <v/>
      </c>
      <c r="M10" s="50">
        <f>(1+INDEX(Inputs!$D$69:$H$69,1,M$6-2025))^(1/12)-1</f>
        <v/>
      </c>
      <c r="N10" s="50">
        <f>(1+INDEX(Inputs!$D$69:$H$69,1,N$6-2025))^(1/12)-1</f>
        <v/>
      </c>
      <c r="O10" s="50">
        <f>(1+INDEX(Inputs!$D$69:$H$69,1,O$6-2025))^(1/12)-1</f>
        <v/>
      </c>
      <c r="P10" s="50">
        <f>(1+INDEX(Inputs!$D$69:$H$69,1,P$6-2025))^(1/12)-1</f>
        <v/>
      </c>
      <c r="Q10" s="50">
        <f>(1+INDEX(Inputs!$D$69:$H$69,1,Q$6-2025))^(1/12)-1</f>
        <v/>
      </c>
      <c r="R10" s="50">
        <f>(1+INDEX(Inputs!$D$69:$H$69,1,R$6-2025))^(1/12)-1</f>
        <v/>
      </c>
      <c r="S10" s="50">
        <f>(1+INDEX(Inputs!$D$69:$H$69,1,S$6-2025))^(1/12)-1</f>
        <v/>
      </c>
      <c r="T10" s="50">
        <f>(1+INDEX(Inputs!$D$69:$H$69,1,T$6-2025))^(1/12)-1</f>
        <v/>
      </c>
      <c r="U10" s="50">
        <f>(1+INDEX(Inputs!$D$69:$H$69,1,U$6-2025))^(1/12)-1</f>
        <v/>
      </c>
      <c r="V10" s="50">
        <f>(1+INDEX(Inputs!$D$69:$H$69,1,V$6-2025))^(1/12)-1</f>
        <v/>
      </c>
      <c r="W10" s="50">
        <f>(1+INDEX(Inputs!$D$69:$H$69,1,W$6-2025))^(1/12)-1</f>
        <v/>
      </c>
      <c r="X10" s="50">
        <f>(1+INDEX(Inputs!$D$69:$H$69,1,X$6-2025))^(1/12)-1</f>
        <v/>
      </c>
      <c r="Y10" s="50">
        <f>(1+INDEX(Inputs!$D$69:$H$69,1,Y$6-2025))^(1/12)-1</f>
        <v/>
      </c>
      <c r="Z10" s="50">
        <f>(1+INDEX(Inputs!$D$69:$H$69,1,Z$6-2025))^(1/12)-1</f>
        <v/>
      </c>
      <c r="AA10" s="50">
        <f>(1+INDEX(Inputs!$D$69:$H$69,1,AA$6-2025))^(1/12)-1</f>
        <v/>
      </c>
      <c r="AB10" s="50">
        <f>(1+INDEX(Inputs!$D$69:$H$69,1,AB$6-2025))^(1/12)-1</f>
        <v/>
      </c>
      <c r="AC10" s="50">
        <f>(1+INDEX(Inputs!$D$69:$H$69,1,AC$6-2025))^(1/12)-1</f>
        <v/>
      </c>
      <c r="AD10" s="50">
        <f>(1+INDEX(Inputs!$D$69:$H$69,1,AD$6-2025))^(1/12)-1</f>
        <v/>
      </c>
      <c r="AE10" s="50">
        <f>(1+INDEX(Inputs!$D$69:$H$69,1,AE$6-2025))^(1/12)-1</f>
        <v/>
      </c>
      <c r="AF10" s="50">
        <f>(1+INDEX(Inputs!$D$69:$H$69,1,AF$6-2025))^(1/12)-1</f>
        <v/>
      </c>
      <c r="AG10" s="50">
        <f>(1+INDEX(Inputs!$D$69:$H$69,1,AG$6-2025))^(1/12)-1</f>
        <v/>
      </c>
      <c r="AH10" s="50">
        <f>(1+INDEX(Inputs!$D$69:$H$69,1,AH$6-2025))^(1/12)-1</f>
        <v/>
      </c>
      <c r="AI10" s="50">
        <f>(1+INDEX(Inputs!$D$69:$H$69,1,AI$6-2025))^(1/12)-1</f>
        <v/>
      </c>
      <c r="AJ10" s="50">
        <f>(1+INDEX(Inputs!$D$69:$H$69,1,AJ$6-2025))^(1/12)-1</f>
        <v/>
      </c>
      <c r="AK10" s="50">
        <f>(1+INDEX(Inputs!$D$69:$H$69,1,AK$6-2025))^(1/12)-1</f>
        <v/>
      </c>
      <c r="AL10" s="50">
        <f>(1+INDEX(Inputs!$D$69:$H$69,1,AL$6-2025))^(1/12)-1</f>
        <v/>
      </c>
      <c r="AM10" s="50">
        <f>(1+INDEX(Inputs!$D$69:$H$69,1,AM$6-2025))^(1/12)-1</f>
        <v/>
      </c>
      <c r="AN10" s="50">
        <f>(1+INDEX(Inputs!$D$69:$H$69,1,AN$6-2025))^(1/12)-1</f>
        <v/>
      </c>
      <c r="AO10" s="50">
        <f>(1+INDEX(Inputs!$D$69:$H$69,1,AO$6-2025))^(1/12)-1</f>
        <v/>
      </c>
      <c r="AP10" s="50">
        <f>(1+INDEX(Inputs!$D$69:$H$69,1,AP$6-2025))^(1/12)-1</f>
        <v/>
      </c>
      <c r="AQ10" s="50">
        <f>(1+INDEX(Inputs!$D$69:$H$69,1,AQ$6-2025))^(1/12)-1</f>
        <v/>
      </c>
      <c r="AR10" s="50">
        <f>(1+INDEX(Inputs!$D$69:$H$69,1,AR$6-2025))^(1/12)-1</f>
        <v/>
      </c>
      <c r="AS10" s="50">
        <f>(1+INDEX(Inputs!$D$69:$H$69,1,AS$6-2025))^(1/12)-1</f>
        <v/>
      </c>
      <c r="AT10" s="50">
        <f>(1+INDEX(Inputs!$D$69:$H$69,1,AT$6-2025))^(1/12)-1</f>
        <v/>
      </c>
      <c r="AU10" s="50">
        <f>(1+INDEX(Inputs!$D$69:$H$69,1,AU$6-2025))^(1/12)-1</f>
        <v/>
      </c>
      <c r="AV10" s="50">
        <f>(1+INDEX(Inputs!$D$69:$H$69,1,AV$6-2025))^(1/12)-1</f>
        <v/>
      </c>
      <c r="AW10" s="50">
        <f>(1+INDEX(Inputs!$D$69:$H$69,1,AW$6-2025))^(1/12)-1</f>
        <v/>
      </c>
      <c r="AX10" s="50">
        <f>(1+INDEX(Inputs!$D$69:$H$69,1,AX$6-2025))^(1/12)-1</f>
        <v/>
      </c>
      <c r="AY10" s="50">
        <f>(1+INDEX(Inputs!$D$69:$H$69,1,AY$6-2025))^(1/12)-1</f>
        <v/>
      </c>
      <c r="AZ10" s="50">
        <f>(1+INDEX(Inputs!$D$69:$H$69,1,AZ$6-2025))^(1/12)-1</f>
        <v/>
      </c>
      <c r="BA10" s="50">
        <f>(1+INDEX(Inputs!$D$69:$H$69,1,BA$6-2025))^(1/12)-1</f>
        <v/>
      </c>
      <c r="BB10" s="50">
        <f>(1+INDEX(Inputs!$D$69:$H$69,1,BB$6-2025))^(1/12)-1</f>
        <v/>
      </c>
      <c r="BC10" s="50">
        <f>(1+INDEX(Inputs!$D$69:$H$69,1,BC$6-2025))^(1/12)-1</f>
        <v/>
      </c>
      <c r="BD10" s="50">
        <f>(1+INDEX(Inputs!$D$69:$H$69,1,BD$6-2025))^(1/12)-1</f>
        <v/>
      </c>
      <c r="BE10" s="50">
        <f>(1+INDEX(Inputs!$D$69:$H$69,1,BE$6-2025))^(1/12)-1</f>
        <v/>
      </c>
      <c r="BF10" s="50">
        <f>(1+INDEX(Inputs!$D$69:$H$69,1,BF$6-2025))^(1/12)-1</f>
        <v/>
      </c>
      <c r="BG10" s="50">
        <f>(1+INDEX(Inputs!$D$69:$H$69,1,BG$6-2025))^(1/12)-1</f>
        <v/>
      </c>
      <c r="BH10" s="50">
        <f>(1+INDEX(Inputs!$D$69:$H$69,1,BH$6-2025))^(1/12)-1</f>
        <v/>
      </c>
      <c r="BI10" s="50">
        <f>(1+INDEX(Inputs!$D$69:$H$69,1,BI$6-2025))^(1/12)-1</f>
        <v/>
      </c>
      <c r="BJ10" s="50">
        <f>(1+INDEX(Inputs!$D$69:$H$69,1,BJ$6-2025))^(1/12)-1</f>
        <v/>
      </c>
      <c r="BK10" s="50">
        <f>(1+INDEX(Inputs!$D$69:$H$69,1,BK$6-2025))^(1/12)-1</f>
        <v/>
      </c>
    </row>
    <row r="11">
      <c r="B11" s="18" t="inlineStr">
        <is>
          <t xml:space="preserve">    In contract churn, monthly</t>
        </is>
      </c>
      <c r="C11" s="19" t="inlineStr">
        <is>
          <t>%</t>
        </is>
      </c>
      <c r="D11" s="50">
        <f>Inputs!$D$62/12</f>
        <v/>
      </c>
      <c r="E11" s="50">
        <f>Inputs!$D$62/12</f>
        <v/>
      </c>
      <c r="F11" s="50">
        <f>Inputs!$D$62/12</f>
        <v/>
      </c>
      <c r="G11" s="50">
        <f>Inputs!$D$62/12</f>
        <v/>
      </c>
      <c r="H11" s="50">
        <f>Inputs!$D$62/12</f>
        <v/>
      </c>
      <c r="I11" s="50">
        <f>Inputs!$D$62/12</f>
        <v/>
      </c>
      <c r="J11" s="50">
        <f>Inputs!$D$62/12</f>
        <v/>
      </c>
      <c r="K11" s="50">
        <f>Inputs!$D$62/12</f>
        <v/>
      </c>
      <c r="L11" s="50">
        <f>Inputs!$D$62/12</f>
        <v/>
      </c>
      <c r="M11" s="50">
        <f>Inputs!$D$62/12</f>
        <v/>
      </c>
      <c r="N11" s="50">
        <f>Inputs!$D$62/12</f>
        <v/>
      </c>
      <c r="O11" s="50">
        <f>Inputs!$D$62/12</f>
        <v/>
      </c>
      <c r="P11" s="50">
        <f>Inputs!$D$62/12</f>
        <v/>
      </c>
      <c r="Q11" s="50">
        <f>Inputs!$D$62/12</f>
        <v/>
      </c>
      <c r="R11" s="50">
        <f>Inputs!$D$62/12</f>
        <v/>
      </c>
      <c r="S11" s="50">
        <f>Inputs!$D$62/12</f>
        <v/>
      </c>
      <c r="T11" s="50">
        <f>Inputs!$D$62/12</f>
        <v/>
      </c>
      <c r="U11" s="50">
        <f>Inputs!$D$62/12</f>
        <v/>
      </c>
      <c r="V11" s="50">
        <f>Inputs!$D$62/12</f>
        <v/>
      </c>
      <c r="W11" s="50">
        <f>Inputs!$D$62/12</f>
        <v/>
      </c>
      <c r="X11" s="50">
        <f>Inputs!$D$62/12</f>
        <v/>
      </c>
      <c r="Y11" s="50">
        <f>Inputs!$D$62/12</f>
        <v/>
      </c>
      <c r="Z11" s="50">
        <f>Inputs!$D$62/12</f>
        <v/>
      </c>
      <c r="AA11" s="50">
        <f>Inputs!$D$62/12</f>
        <v/>
      </c>
      <c r="AB11" s="50">
        <f>Inputs!$D$62/12</f>
        <v/>
      </c>
      <c r="AC11" s="50">
        <f>Inputs!$D$62/12</f>
        <v/>
      </c>
      <c r="AD11" s="50">
        <f>Inputs!$D$62/12</f>
        <v/>
      </c>
      <c r="AE11" s="50">
        <f>Inputs!$D$62/12</f>
        <v/>
      </c>
      <c r="AF11" s="50">
        <f>Inputs!$D$62/12</f>
        <v/>
      </c>
      <c r="AG11" s="50">
        <f>Inputs!$D$62/12</f>
        <v/>
      </c>
      <c r="AH11" s="50">
        <f>Inputs!$D$62/12</f>
        <v/>
      </c>
      <c r="AI11" s="50">
        <f>Inputs!$D$62/12</f>
        <v/>
      </c>
      <c r="AJ11" s="50">
        <f>Inputs!$D$62/12</f>
        <v/>
      </c>
      <c r="AK11" s="50">
        <f>Inputs!$D$62/12</f>
        <v/>
      </c>
      <c r="AL11" s="50">
        <f>Inputs!$D$62/12</f>
        <v/>
      </c>
      <c r="AM11" s="50">
        <f>Inputs!$D$62/12</f>
        <v/>
      </c>
      <c r="AN11" s="50">
        <f>Inputs!$D$62/12</f>
        <v/>
      </c>
      <c r="AO11" s="50">
        <f>Inputs!$D$62/12</f>
        <v/>
      </c>
      <c r="AP11" s="50">
        <f>Inputs!$D$62/12</f>
        <v/>
      </c>
      <c r="AQ11" s="50">
        <f>Inputs!$D$62/12</f>
        <v/>
      </c>
      <c r="AR11" s="50">
        <f>Inputs!$D$62/12</f>
        <v/>
      </c>
      <c r="AS11" s="50">
        <f>Inputs!$D$62/12</f>
        <v/>
      </c>
      <c r="AT11" s="50">
        <f>Inputs!$D$62/12</f>
        <v/>
      </c>
      <c r="AU11" s="50">
        <f>Inputs!$D$62/12</f>
        <v/>
      </c>
      <c r="AV11" s="50">
        <f>Inputs!$D$62/12</f>
        <v/>
      </c>
      <c r="AW11" s="50">
        <f>Inputs!$D$62/12</f>
        <v/>
      </c>
      <c r="AX11" s="50">
        <f>Inputs!$D$62/12</f>
        <v/>
      </c>
      <c r="AY11" s="50">
        <f>Inputs!$D$62/12</f>
        <v/>
      </c>
      <c r="AZ11" s="50">
        <f>Inputs!$D$62/12</f>
        <v/>
      </c>
      <c r="BA11" s="50">
        <f>Inputs!$D$62/12</f>
        <v/>
      </c>
      <c r="BB11" s="50">
        <f>Inputs!$D$62/12</f>
        <v/>
      </c>
      <c r="BC11" s="50">
        <f>Inputs!$D$62/12</f>
        <v/>
      </c>
      <c r="BD11" s="50">
        <f>Inputs!$D$62/12</f>
        <v/>
      </c>
      <c r="BE11" s="50">
        <f>Inputs!$D$62/12</f>
        <v/>
      </c>
      <c r="BF11" s="50">
        <f>Inputs!$D$62/12</f>
        <v/>
      </c>
      <c r="BG11" s="50">
        <f>Inputs!$D$62/12</f>
        <v/>
      </c>
      <c r="BH11" s="50">
        <f>Inputs!$D$62/12</f>
        <v/>
      </c>
      <c r="BI11" s="50">
        <f>Inputs!$D$62/12</f>
        <v/>
      </c>
      <c r="BJ11" s="50">
        <f>Inputs!$D$62/12</f>
        <v/>
      </c>
      <c r="BK11" s="50">
        <f>Inputs!$D$62/12</f>
        <v/>
      </c>
    </row>
    <row r="12">
      <c r="B12" s="18" t="inlineStr">
        <is>
          <t xml:space="preserve">    First renewal survival</t>
        </is>
      </c>
      <c r="C12" s="19" t="inlineStr">
        <is>
          <t>%</t>
        </is>
      </c>
      <c r="D12" s="50">
        <f>INDEX(Inputs!$D$59:$H$59,1,D$6-2025)</f>
        <v/>
      </c>
      <c r="E12" s="50">
        <f>INDEX(Inputs!$D$59:$H$59,1,E$6-2025)</f>
        <v/>
      </c>
      <c r="F12" s="50">
        <f>INDEX(Inputs!$D$59:$H$59,1,F$6-2025)</f>
        <v/>
      </c>
      <c r="G12" s="50">
        <f>INDEX(Inputs!$D$59:$H$59,1,G$6-2025)</f>
        <v/>
      </c>
      <c r="H12" s="50">
        <f>INDEX(Inputs!$D$59:$H$59,1,H$6-2025)</f>
        <v/>
      </c>
      <c r="I12" s="50">
        <f>INDEX(Inputs!$D$59:$H$59,1,I$6-2025)</f>
        <v/>
      </c>
      <c r="J12" s="50">
        <f>INDEX(Inputs!$D$59:$H$59,1,J$6-2025)</f>
        <v/>
      </c>
      <c r="K12" s="50">
        <f>INDEX(Inputs!$D$59:$H$59,1,K$6-2025)</f>
        <v/>
      </c>
      <c r="L12" s="50">
        <f>INDEX(Inputs!$D$59:$H$59,1,L$6-2025)</f>
        <v/>
      </c>
      <c r="M12" s="50">
        <f>INDEX(Inputs!$D$59:$H$59,1,M$6-2025)</f>
        <v/>
      </c>
      <c r="N12" s="50">
        <f>INDEX(Inputs!$D$59:$H$59,1,N$6-2025)</f>
        <v/>
      </c>
      <c r="O12" s="50">
        <f>INDEX(Inputs!$D$59:$H$59,1,O$6-2025)</f>
        <v/>
      </c>
      <c r="P12" s="50">
        <f>INDEX(Inputs!$D$59:$H$59,1,P$6-2025)</f>
        <v/>
      </c>
      <c r="Q12" s="50">
        <f>INDEX(Inputs!$D$59:$H$59,1,Q$6-2025)</f>
        <v/>
      </c>
      <c r="R12" s="50">
        <f>INDEX(Inputs!$D$59:$H$59,1,R$6-2025)</f>
        <v/>
      </c>
      <c r="S12" s="50">
        <f>INDEX(Inputs!$D$59:$H$59,1,S$6-2025)</f>
        <v/>
      </c>
      <c r="T12" s="50">
        <f>INDEX(Inputs!$D$59:$H$59,1,T$6-2025)</f>
        <v/>
      </c>
      <c r="U12" s="50">
        <f>INDEX(Inputs!$D$59:$H$59,1,U$6-2025)</f>
        <v/>
      </c>
      <c r="V12" s="50">
        <f>INDEX(Inputs!$D$59:$H$59,1,V$6-2025)</f>
        <v/>
      </c>
      <c r="W12" s="50">
        <f>INDEX(Inputs!$D$59:$H$59,1,W$6-2025)</f>
        <v/>
      </c>
      <c r="X12" s="50">
        <f>INDEX(Inputs!$D$59:$H$59,1,X$6-2025)</f>
        <v/>
      </c>
      <c r="Y12" s="50">
        <f>INDEX(Inputs!$D$59:$H$59,1,Y$6-2025)</f>
        <v/>
      </c>
      <c r="Z12" s="50">
        <f>INDEX(Inputs!$D$59:$H$59,1,Z$6-2025)</f>
        <v/>
      </c>
      <c r="AA12" s="50">
        <f>INDEX(Inputs!$D$59:$H$59,1,AA$6-2025)</f>
        <v/>
      </c>
      <c r="AB12" s="50">
        <f>INDEX(Inputs!$D$59:$H$59,1,AB$6-2025)</f>
        <v/>
      </c>
      <c r="AC12" s="50">
        <f>INDEX(Inputs!$D$59:$H$59,1,AC$6-2025)</f>
        <v/>
      </c>
      <c r="AD12" s="50">
        <f>INDEX(Inputs!$D$59:$H$59,1,AD$6-2025)</f>
        <v/>
      </c>
      <c r="AE12" s="50">
        <f>INDEX(Inputs!$D$59:$H$59,1,AE$6-2025)</f>
        <v/>
      </c>
      <c r="AF12" s="50">
        <f>INDEX(Inputs!$D$59:$H$59,1,AF$6-2025)</f>
        <v/>
      </c>
      <c r="AG12" s="50">
        <f>INDEX(Inputs!$D$59:$H$59,1,AG$6-2025)</f>
        <v/>
      </c>
      <c r="AH12" s="50">
        <f>INDEX(Inputs!$D$59:$H$59,1,AH$6-2025)</f>
        <v/>
      </c>
      <c r="AI12" s="50">
        <f>INDEX(Inputs!$D$59:$H$59,1,AI$6-2025)</f>
        <v/>
      </c>
      <c r="AJ12" s="50">
        <f>INDEX(Inputs!$D$59:$H$59,1,AJ$6-2025)</f>
        <v/>
      </c>
      <c r="AK12" s="50">
        <f>INDEX(Inputs!$D$59:$H$59,1,AK$6-2025)</f>
        <v/>
      </c>
      <c r="AL12" s="50">
        <f>INDEX(Inputs!$D$59:$H$59,1,AL$6-2025)</f>
        <v/>
      </c>
      <c r="AM12" s="50">
        <f>INDEX(Inputs!$D$59:$H$59,1,AM$6-2025)</f>
        <v/>
      </c>
      <c r="AN12" s="50">
        <f>INDEX(Inputs!$D$59:$H$59,1,AN$6-2025)</f>
        <v/>
      </c>
      <c r="AO12" s="50">
        <f>INDEX(Inputs!$D$59:$H$59,1,AO$6-2025)</f>
        <v/>
      </c>
      <c r="AP12" s="50">
        <f>INDEX(Inputs!$D$59:$H$59,1,AP$6-2025)</f>
        <v/>
      </c>
      <c r="AQ12" s="50">
        <f>INDEX(Inputs!$D$59:$H$59,1,AQ$6-2025)</f>
        <v/>
      </c>
      <c r="AR12" s="50">
        <f>INDEX(Inputs!$D$59:$H$59,1,AR$6-2025)</f>
        <v/>
      </c>
      <c r="AS12" s="50">
        <f>INDEX(Inputs!$D$59:$H$59,1,AS$6-2025)</f>
        <v/>
      </c>
      <c r="AT12" s="50">
        <f>INDEX(Inputs!$D$59:$H$59,1,AT$6-2025)</f>
        <v/>
      </c>
      <c r="AU12" s="50">
        <f>INDEX(Inputs!$D$59:$H$59,1,AU$6-2025)</f>
        <v/>
      </c>
      <c r="AV12" s="50">
        <f>INDEX(Inputs!$D$59:$H$59,1,AV$6-2025)</f>
        <v/>
      </c>
      <c r="AW12" s="50">
        <f>INDEX(Inputs!$D$59:$H$59,1,AW$6-2025)</f>
        <v/>
      </c>
      <c r="AX12" s="50">
        <f>INDEX(Inputs!$D$59:$H$59,1,AX$6-2025)</f>
        <v/>
      </c>
      <c r="AY12" s="50">
        <f>INDEX(Inputs!$D$59:$H$59,1,AY$6-2025)</f>
        <v/>
      </c>
      <c r="AZ12" s="50">
        <f>INDEX(Inputs!$D$59:$H$59,1,AZ$6-2025)</f>
        <v/>
      </c>
      <c r="BA12" s="50">
        <f>INDEX(Inputs!$D$59:$H$59,1,BA$6-2025)</f>
        <v/>
      </c>
      <c r="BB12" s="50">
        <f>INDEX(Inputs!$D$59:$H$59,1,BB$6-2025)</f>
        <v/>
      </c>
      <c r="BC12" s="50">
        <f>INDEX(Inputs!$D$59:$H$59,1,BC$6-2025)</f>
        <v/>
      </c>
      <c r="BD12" s="50">
        <f>INDEX(Inputs!$D$59:$H$59,1,BD$6-2025)</f>
        <v/>
      </c>
      <c r="BE12" s="50">
        <f>INDEX(Inputs!$D$59:$H$59,1,BE$6-2025)</f>
        <v/>
      </c>
      <c r="BF12" s="50">
        <f>INDEX(Inputs!$D$59:$H$59,1,BF$6-2025)</f>
        <v/>
      </c>
      <c r="BG12" s="50">
        <f>INDEX(Inputs!$D$59:$H$59,1,BG$6-2025)</f>
        <v/>
      </c>
      <c r="BH12" s="50">
        <f>INDEX(Inputs!$D$59:$H$59,1,BH$6-2025)</f>
        <v/>
      </c>
      <c r="BI12" s="50">
        <f>INDEX(Inputs!$D$59:$H$59,1,BI$6-2025)</f>
        <v/>
      </c>
      <c r="BJ12" s="50">
        <f>INDEX(Inputs!$D$59:$H$59,1,BJ$6-2025)</f>
        <v/>
      </c>
      <c r="BK12" s="50">
        <f>INDEX(Inputs!$D$59:$H$59,1,BK$6-2025)</f>
        <v/>
      </c>
    </row>
    <row r="13">
      <c r="B13" s="18" t="inlineStr">
        <is>
          <t xml:space="preserve">    Later renewal survival</t>
        </is>
      </c>
      <c r="C13" s="19" t="inlineStr">
        <is>
          <t>%</t>
        </is>
      </c>
      <c r="D13" s="50">
        <f>INDEX(Inputs!$D$61:$H$61,1,D$6-2025)</f>
        <v/>
      </c>
      <c r="E13" s="50">
        <f>INDEX(Inputs!$D$61:$H$61,1,E$6-2025)</f>
        <v/>
      </c>
      <c r="F13" s="50">
        <f>INDEX(Inputs!$D$61:$H$61,1,F$6-2025)</f>
        <v/>
      </c>
      <c r="G13" s="50">
        <f>INDEX(Inputs!$D$61:$H$61,1,G$6-2025)</f>
        <v/>
      </c>
      <c r="H13" s="50">
        <f>INDEX(Inputs!$D$61:$H$61,1,H$6-2025)</f>
        <v/>
      </c>
      <c r="I13" s="50">
        <f>INDEX(Inputs!$D$61:$H$61,1,I$6-2025)</f>
        <v/>
      </c>
      <c r="J13" s="50">
        <f>INDEX(Inputs!$D$61:$H$61,1,J$6-2025)</f>
        <v/>
      </c>
      <c r="K13" s="50">
        <f>INDEX(Inputs!$D$61:$H$61,1,K$6-2025)</f>
        <v/>
      </c>
      <c r="L13" s="50">
        <f>INDEX(Inputs!$D$61:$H$61,1,L$6-2025)</f>
        <v/>
      </c>
      <c r="M13" s="50">
        <f>INDEX(Inputs!$D$61:$H$61,1,M$6-2025)</f>
        <v/>
      </c>
      <c r="N13" s="50">
        <f>INDEX(Inputs!$D$61:$H$61,1,N$6-2025)</f>
        <v/>
      </c>
      <c r="O13" s="50">
        <f>INDEX(Inputs!$D$61:$H$61,1,O$6-2025)</f>
        <v/>
      </c>
      <c r="P13" s="50">
        <f>INDEX(Inputs!$D$61:$H$61,1,P$6-2025)</f>
        <v/>
      </c>
      <c r="Q13" s="50">
        <f>INDEX(Inputs!$D$61:$H$61,1,Q$6-2025)</f>
        <v/>
      </c>
      <c r="R13" s="50">
        <f>INDEX(Inputs!$D$61:$H$61,1,R$6-2025)</f>
        <v/>
      </c>
      <c r="S13" s="50">
        <f>INDEX(Inputs!$D$61:$H$61,1,S$6-2025)</f>
        <v/>
      </c>
      <c r="T13" s="50">
        <f>INDEX(Inputs!$D$61:$H$61,1,T$6-2025)</f>
        <v/>
      </c>
      <c r="U13" s="50">
        <f>INDEX(Inputs!$D$61:$H$61,1,U$6-2025)</f>
        <v/>
      </c>
      <c r="V13" s="50">
        <f>INDEX(Inputs!$D$61:$H$61,1,V$6-2025)</f>
        <v/>
      </c>
      <c r="W13" s="50">
        <f>INDEX(Inputs!$D$61:$H$61,1,W$6-2025)</f>
        <v/>
      </c>
      <c r="X13" s="50">
        <f>INDEX(Inputs!$D$61:$H$61,1,X$6-2025)</f>
        <v/>
      </c>
      <c r="Y13" s="50">
        <f>INDEX(Inputs!$D$61:$H$61,1,Y$6-2025)</f>
        <v/>
      </c>
      <c r="Z13" s="50">
        <f>INDEX(Inputs!$D$61:$H$61,1,Z$6-2025)</f>
        <v/>
      </c>
      <c r="AA13" s="50">
        <f>INDEX(Inputs!$D$61:$H$61,1,AA$6-2025)</f>
        <v/>
      </c>
      <c r="AB13" s="50">
        <f>INDEX(Inputs!$D$61:$H$61,1,AB$6-2025)</f>
        <v/>
      </c>
      <c r="AC13" s="50">
        <f>INDEX(Inputs!$D$61:$H$61,1,AC$6-2025)</f>
        <v/>
      </c>
      <c r="AD13" s="50">
        <f>INDEX(Inputs!$D$61:$H$61,1,AD$6-2025)</f>
        <v/>
      </c>
      <c r="AE13" s="50">
        <f>INDEX(Inputs!$D$61:$H$61,1,AE$6-2025)</f>
        <v/>
      </c>
      <c r="AF13" s="50">
        <f>INDEX(Inputs!$D$61:$H$61,1,AF$6-2025)</f>
        <v/>
      </c>
      <c r="AG13" s="50">
        <f>INDEX(Inputs!$D$61:$H$61,1,AG$6-2025)</f>
        <v/>
      </c>
      <c r="AH13" s="50">
        <f>INDEX(Inputs!$D$61:$H$61,1,AH$6-2025)</f>
        <v/>
      </c>
      <c r="AI13" s="50">
        <f>INDEX(Inputs!$D$61:$H$61,1,AI$6-2025)</f>
        <v/>
      </c>
      <c r="AJ13" s="50">
        <f>INDEX(Inputs!$D$61:$H$61,1,AJ$6-2025)</f>
        <v/>
      </c>
      <c r="AK13" s="50">
        <f>INDEX(Inputs!$D$61:$H$61,1,AK$6-2025)</f>
        <v/>
      </c>
      <c r="AL13" s="50">
        <f>INDEX(Inputs!$D$61:$H$61,1,AL$6-2025)</f>
        <v/>
      </c>
      <c r="AM13" s="50">
        <f>INDEX(Inputs!$D$61:$H$61,1,AM$6-2025)</f>
        <v/>
      </c>
      <c r="AN13" s="50">
        <f>INDEX(Inputs!$D$61:$H$61,1,AN$6-2025)</f>
        <v/>
      </c>
      <c r="AO13" s="50">
        <f>INDEX(Inputs!$D$61:$H$61,1,AO$6-2025)</f>
        <v/>
      </c>
      <c r="AP13" s="50">
        <f>INDEX(Inputs!$D$61:$H$61,1,AP$6-2025)</f>
        <v/>
      </c>
      <c r="AQ13" s="50">
        <f>INDEX(Inputs!$D$61:$H$61,1,AQ$6-2025)</f>
        <v/>
      </c>
      <c r="AR13" s="50">
        <f>INDEX(Inputs!$D$61:$H$61,1,AR$6-2025)</f>
        <v/>
      </c>
      <c r="AS13" s="50">
        <f>INDEX(Inputs!$D$61:$H$61,1,AS$6-2025)</f>
        <v/>
      </c>
      <c r="AT13" s="50">
        <f>INDEX(Inputs!$D$61:$H$61,1,AT$6-2025)</f>
        <v/>
      </c>
      <c r="AU13" s="50">
        <f>INDEX(Inputs!$D$61:$H$61,1,AU$6-2025)</f>
        <v/>
      </c>
      <c r="AV13" s="50">
        <f>INDEX(Inputs!$D$61:$H$61,1,AV$6-2025)</f>
        <v/>
      </c>
      <c r="AW13" s="50">
        <f>INDEX(Inputs!$D$61:$H$61,1,AW$6-2025)</f>
        <v/>
      </c>
      <c r="AX13" s="50">
        <f>INDEX(Inputs!$D$61:$H$61,1,AX$6-2025)</f>
        <v/>
      </c>
      <c r="AY13" s="50">
        <f>INDEX(Inputs!$D$61:$H$61,1,AY$6-2025)</f>
        <v/>
      </c>
      <c r="AZ13" s="50">
        <f>INDEX(Inputs!$D$61:$H$61,1,AZ$6-2025)</f>
        <v/>
      </c>
      <c r="BA13" s="50">
        <f>INDEX(Inputs!$D$61:$H$61,1,BA$6-2025)</f>
        <v/>
      </c>
      <c r="BB13" s="50">
        <f>INDEX(Inputs!$D$61:$H$61,1,BB$6-2025)</f>
        <v/>
      </c>
      <c r="BC13" s="50">
        <f>INDEX(Inputs!$D$61:$H$61,1,BC$6-2025)</f>
        <v/>
      </c>
      <c r="BD13" s="50">
        <f>INDEX(Inputs!$D$61:$H$61,1,BD$6-2025)</f>
        <v/>
      </c>
      <c r="BE13" s="50">
        <f>INDEX(Inputs!$D$61:$H$61,1,BE$6-2025)</f>
        <v/>
      </c>
      <c r="BF13" s="50">
        <f>INDEX(Inputs!$D$61:$H$61,1,BF$6-2025)</f>
        <v/>
      </c>
      <c r="BG13" s="50">
        <f>INDEX(Inputs!$D$61:$H$61,1,BG$6-2025)</f>
        <v/>
      </c>
      <c r="BH13" s="50">
        <f>INDEX(Inputs!$D$61:$H$61,1,BH$6-2025)</f>
        <v/>
      </c>
      <c r="BI13" s="50">
        <f>INDEX(Inputs!$D$61:$H$61,1,BI$6-2025)</f>
        <v/>
      </c>
      <c r="BJ13" s="50">
        <f>INDEX(Inputs!$D$61:$H$61,1,BJ$6-2025)</f>
        <v/>
      </c>
      <c r="BK13" s="50">
        <f>INDEX(Inputs!$D$61:$H$61,1,BK$6-2025)</f>
        <v/>
      </c>
    </row>
    <row r="14">
      <c r="B14" s="18" t="inlineStr">
        <is>
          <t xml:space="preserve">    Renewal uplift, price plus cross sell</t>
        </is>
      </c>
      <c r="C14" s="19" t="inlineStr">
        <is>
          <t>%</t>
        </is>
      </c>
      <c r="D14" s="50">
        <f>Inputs!$D$71+INDEX(Inputs!$D$72:$H$72,1,D$6-2025)</f>
        <v/>
      </c>
      <c r="E14" s="50">
        <f>Inputs!$D$71+INDEX(Inputs!$D$72:$H$72,1,E$6-2025)</f>
        <v/>
      </c>
      <c r="F14" s="50">
        <f>Inputs!$D$71+INDEX(Inputs!$D$72:$H$72,1,F$6-2025)</f>
        <v/>
      </c>
      <c r="G14" s="50">
        <f>Inputs!$D$71+INDEX(Inputs!$D$72:$H$72,1,G$6-2025)</f>
        <v/>
      </c>
      <c r="H14" s="50">
        <f>Inputs!$D$71+INDEX(Inputs!$D$72:$H$72,1,H$6-2025)</f>
        <v/>
      </c>
      <c r="I14" s="50">
        <f>Inputs!$D$71+INDEX(Inputs!$D$72:$H$72,1,I$6-2025)</f>
        <v/>
      </c>
      <c r="J14" s="50">
        <f>Inputs!$D$71+INDEX(Inputs!$D$72:$H$72,1,J$6-2025)</f>
        <v/>
      </c>
      <c r="K14" s="50">
        <f>Inputs!$D$71+INDEX(Inputs!$D$72:$H$72,1,K$6-2025)</f>
        <v/>
      </c>
      <c r="L14" s="50">
        <f>Inputs!$D$71+INDEX(Inputs!$D$72:$H$72,1,L$6-2025)</f>
        <v/>
      </c>
      <c r="M14" s="50">
        <f>Inputs!$D$71+INDEX(Inputs!$D$72:$H$72,1,M$6-2025)</f>
        <v/>
      </c>
      <c r="N14" s="50">
        <f>Inputs!$D$71+INDEX(Inputs!$D$72:$H$72,1,N$6-2025)</f>
        <v/>
      </c>
      <c r="O14" s="50">
        <f>Inputs!$D$71+INDEX(Inputs!$D$72:$H$72,1,O$6-2025)</f>
        <v/>
      </c>
      <c r="P14" s="50">
        <f>Inputs!$D$71+INDEX(Inputs!$D$72:$H$72,1,P$6-2025)</f>
        <v/>
      </c>
      <c r="Q14" s="50">
        <f>Inputs!$D$71+INDEX(Inputs!$D$72:$H$72,1,Q$6-2025)</f>
        <v/>
      </c>
      <c r="R14" s="50">
        <f>Inputs!$D$71+INDEX(Inputs!$D$72:$H$72,1,R$6-2025)</f>
        <v/>
      </c>
      <c r="S14" s="50">
        <f>Inputs!$D$71+INDEX(Inputs!$D$72:$H$72,1,S$6-2025)</f>
        <v/>
      </c>
      <c r="T14" s="50">
        <f>Inputs!$D$71+INDEX(Inputs!$D$72:$H$72,1,T$6-2025)</f>
        <v/>
      </c>
      <c r="U14" s="50">
        <f>Inputs!$D$71+INDEX(Inputs!$D$72:$H$72,1,U$6-2025)</f>
        <v/>
      </c>
      <c r="V14" s="50">
        <f>Inputs!$D$71+INDEX(Inputs!$D$72:$H$72,1,V$6-2025)</f>
        <v/>
      </c>
      <c r="W14" s="50">
        <f>Inputs!$D$71+INDEX(Inputs!$D$72:$H$72,1,W$6-2025)</f>
        <v/>
      </c>
      <c r="X14" s="50">
        <f>Inputs!$D$71+INDEX(Inputs!$D$72:$H$72,1,X$6-2025)</f>
        <v/>
      </c>
      <c r="Y14" s="50">
        <f>Inputs!$D$71+INDEX(Inputs!$D$72:$H$72,1,Y$6-2025)</f>
        <v/>
      </c>
      <c r="Z14" s="50">
        <f>Inputs!$D$71+INDEX(Inputs!$D$72:$H$72,1,Z$6-2025)</f>
        <v/>
      </c>
      <c r="AA14" s="50">
        <f>Inputs!$D$71+INDEX(Inputs!$D$72:$H$72,1,AA$6-2025)</f>
        <v/>
      </c>
      <c r="AB14" s="50">
        <f>Inputs!$D$71+INDEX(Inputs!$D$72:$H$72,1,AB$6-2025)</f>
        <v/>
      </c>
      <c r="AC14" s="50">
        <f>Inputs!$D$71+INDEX(Inputs!$D$72:$H$72,1,AC$6-2025)</f>
        <v/>
      </c>
      <c r="AD14" s="50">
        <f>Inputs!$D$71+INDEX(Inputs!$D$72:$H$72,1,AD$6-2025)</f>
        <v/>
      </c>
      <c r="AE14" s="50">
        <f>Inputs!$D$71+INDEX(Inputs!$D$72:$H$72,1,AE$6-2025)</f>
        <v/>
      </c>
      <c r="AF14" s="50">
        <f>Inputs!$D$71+INDEX(Inputs!$D$72:$H$72,1,AF$6-2025)</f>
        <v/>
      </c>
      <c r="AG14" s="50">
        <f>Inputs!$D$71+INDEX(Inputs!$D$72:$H$72,1,AG$6-2025)</f>
        <v/>
      </c>
      <c r="AH14" s="50">
        <f>Inputs!$D$71+INDEX(Inputs!$D$72:$H$72,1,AH$6-2025)</f>
        <v/>
      </c>
      <c r="AI14" s="50">
        <f>Inputs!$D$71+INDEX(Inputs!$D$72:$H$72,1,AI$6-2025)</f>
        <v/>
      </c>
      <c r="AJ14" s="50">
        <f>Inputs!$D$71+INDEX(Inputs!$D$72:$H$72,1,AJ$6-2025)</f>
        <v/>
      </c>
      <c r="AK14" s="50">
        <f>Inputs!$D$71+INDEX(Inputs!$D$72:$H$72,1,AK$6-2025)</f>
        <v/>
      </c>
      <c r="AL14" s="50">
        <f>Inputs!$D$71+INDEX(Inputs!$D$72:$H$72,1,AL$6-2025)</f>
        <v/>
      </c>
      <c r="AM14" s="50">
        <f>Inputs!$D$71+INDEX(Inputs!$D$72:$H$72,1,AM$6-2025)</f>
        <v/>
      </c>
      <c r="AN14" s="50">
        <f>Inputs!$D$71+INDEX(Inputs!$D$72:$H$72,1,AN$6-2025)</f>
        <v/>
      </c>
      <c r="AO14" s="50">
        <f>Inputs!$D$71+INDEX(Inputs!$D$72:$H$72,1,AO$6-2025)</f>
        <v/>
      </c>
      <c r="AP14" s="50">
        <f>Inputs!$D$71+INDEX(Inputs!$D$72:$H$72,1,AP$6-2025)</f>
        <v/>
      </c>
      <c r="AQ14" s="50">
        <f>Inputs!$D$71+INDEX(Inputs!$D$72:$H$72,1,AQ$6-2025)</f>
        <v/>
      </c>
      <c r="AR14" s="50">
        <f>Inputs!$D$71+INDEX(Inputs!$D$72:$H$72,1,AR$6-2025)</f>
        <v/>
      </c>
      <c r="AS14" s="50">
        <f>Inputs!$D$71+INDEX(Inputs!$D$72:$H$72,1,AS$6-2025)</f>
        <v/>
      </c>
      <c r="AT14" s="50">
        <f>Inputs!$D$71+INDEX(Inputs!$D$72:$H$72,1,AT$6-2025)</f>
        <v/>
      </c>
      <c r="AU14" s="50">
        <f>Inputs!$D$71+INDEX(Inputs!$D$72:$H$72,1,AU$6-2025)</f>
        <v/>
      </c>
      <c r="AV14" s="50">
        <f>Inputs!$D$71+INDEX(Inputs!$D$72:$H$72,1,AV$6-2025)</f>
        <v/>
      </c>
      <c r="AW14" s="50">
        <f>Inputs!$D$71+INDEX(Inputs!$D$72:$H$72,1,AW$6-2025)</f>
        <v/>
      </c>
      <c r="AX14" s="50">
        <f>Inputs!$D$71+INDEX(Inputs!$D$72:$H$72,1,AX$6-2025)</f>
        <v/>
      </c>
      <c r="AY14" s="50">
        <f>Inputs!$D$71+INDEX(Inputs!$D$72:$H$72,1,AY$6-2025)</f>
        <v/>
      </c>
      <c r="AZ14" s="50">
        <f>Inputs!$D$71+INDEX(Inputs!$D$72:$H$72,1,AZ$6-2025)</f>
        <v/>
      </c>
      <c r="BA14" s="50">
        <f>Inputs!$D$71+INDEX(Inputs!$D$72:$H$72,1,BA$6-2025)</f>
        <v/>
      </c>
      <c r="BB14" s="50">
        <f>Inputs!$D$71+INDEX(Inputs!$D$72:$H$72,1,BB$6-2025)</f>
        <v/>
      </c>
      <c r="BC14" s="50">
        <f>Inputs!$D$71+INDEX(Inputs!$D$72:$H$72,1,BC$6-2025)</f>
        <v/>
      </c>
      <c r="BD14" s="50">
        <f>Inputs!$D$71+INDEX(Inputs!$D$72:$H$72,1,BD$6-2025)</f>
        <v/>
      </c>
      <c r="BE14" s="50">
        <f>Inputs!$D$71+INDEX(Inputs!$D$72:$H$72,1,BE$6-2025)</f>
        <v/>
      </c>
      <c r="BF14" s="50">
        <f>Inputs!$D$71+INDEX(Inputs!$D$72:$H$72,1,BF$6-2025)</f>
        <v/>
      </c>
      <c r="BG14" s="50">
        <f>Inputs!$D$71+INDEX(Inputs!$D$72:$H$72,1,BG$6-2025)</f>
        <v/>
      </c>
      <c r="BH14" s="50">
        <f>Inputs!$D$71+INDEX(Inputs!$D$72:$H$72,1,BH$6-2025)</f>
        <v/>
      </c>
      <c r="BI14" s="50">
        <f>Inputs!$D$71+INDEX(Inputs!$D$72:$H$72,1,BI$6-2025)</f>
        <v/>
      </c>
      <c r="BJ14" s="50">
        <f>Inputs!$D$71+INDEX(Inputs!$D$72:$H$72,1,BJ$6-2025)</f>
        <v/>
      </c>
      <c r="BK14" s="50">
        <f>Inputs!$D$71+INDEX(Inputs!$D$72:$H$72,1,BK$6-2025)</f>
        <v/>
      </c>
    </row>
    <row r="15"/>
    <row r="16">
      <c r="B16" s="3" t="inlineStr">
        <is>
          <t>COHORT TRIANGLE</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c r="AX16" s="4" t="n"/>
      <c r="AY16" s="4" t="n"/>
      <c r="AZ16" s="4" t="n"/>
      <c r="BA16" s="4" t="n"/>
      <c r="BB16" s="4" t="n"/>
      <c r="BC16" s="4" t="n"/>
      <c r="BD16" s="4" t="n"/>
      <c r="BE16" s="4" t="n"/>
      <c r="BF16" s="4" t="n"/>
      <c r="BG16" s="4" t="n"/>
      <c r="BH16" s="4" t="n"/>
      <c r="BI16" s="4" t="n"/>
      <c r="BJ16" s="4" t="n"/>
      <c r="BK16" s="4" t="n"/>
      <c r="BL16" s="4" t="n"/>
      <c r="BM16" s="4" t="n"/>
      <c r="BN16" s="4" t="n"/>
      <c r="BO16" s="4" t="n"/>
      <c r="BP16" s="4" t="n"/>
      <c r="BQ16" s="4" t="n"/>
    </row>
    <row r="17">
      <c r="B17" s="26" t="inlineStr">
        <is>
          <t>Opening base, spread evenly across the prior twelve months</t>
        </is>
      </c>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c r="AA17" s="27" t="n"/>
      <c r="AB17" s="27" t="n"/>
      <c r="AC17" s="27" t="n"/>
      <c r="AD17" s="27" t="n"/>
      <c r="AE17" s="27" t="n"/>
      <c r="AF17" s="27" t="n"/>
      <c r="AG17" s="27" t="n"/>
      <c r="AH17" s="27" t="n"/>
      <c r="AI17" s="27" t="n"/>
      <c r="AJ17" s="27" t="n"/>
      <c r="AK17" s="27" t="n"/>
      <c r="AL17" s="27" t="n"/>
      <c r="AM17" s="27" t="n"/>
      <c r="AN17" s="27" t="n"/>
      <c r="AO17" s="27" t="n"/>
      <c r="AP17" s="2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row>
    <row r="18" hidden="1" outlineLevel="1">
      <c r="B18" s="18" t="inlineStr">
        <is>
          <t xml:space="preserve">    Opening slice, age 12 months at start</t>
        </is>
      </c>
      <c r="C18" s="19" t="inlineStr">
        <is>
          <t>$</t>
        </is>
      </c>
      <c r="D18" s="48">
        <f>Inputs!$D$15/12*(1+D$10)*(1-D$11)*IF(MOD((12+D$7),12)=0,IF((12+D$7)=12,D$12,D$13)*(1+D$14),1)</f>
        <v/>
      </c>
      <c r="E18" s="48">
        <f>D18*(1+E$10)*(1-E$11)*IF(MOD((12+E$7),12)=0,IF((12+E$7)=12,E$12,E$13)*(1+E$14),1)</f>
        <v/>
      </c>
      <c r="F18" s="48">
        <f>E18*(1+F$10)*(1-F$11)*IF(MOD((12+F$7),12)=0,IF((12+F$7)=12,F$12,F$13)*(1+F$14),1)</f>
        <v/>
      </c>
      <c r="G18" s="48">
        <f>F18*(1+G$10)*(1-G$11)*IF(MOD((12+G$7),12)=0,IF((12+G$7)=12,G$12,G$13)*(1+G$14),1)</f>
        <v/>
      </c>
      <c r="H18" s="48">
        <f>G18*(1+H$10)*(1-H$11)*IF(MOD((12+H$7),12)=0,IF((12+H$7)=12,H$12,H$13)*(1+H$14),1)</f>
        <v/>
      </c>
      <c r="I18" s="48">
        <f>H18*(1+I$10)*(1-I$11)*IF(MOD((12+I$7),12)=0,IF((12+I$7)=12,I$12,I$13)*(1+I$14),1)</f>
        <v/>
      </c>
      <c r="J18" s="48">
        <f>I18*(1+J$10)*(1-J$11)*IF(MOD((12+J$7),12)=0,IF((12+J$7)=12,J$12,J$13)*(1+J$14),1)</f>
        <v/>
      </c>
      <c r="K18" s="48">
        <f>J18*(1+K$10)*(1-K$11)*IF(MOD((12+K$7),12)=0,IF((12+K$7)=12,K$12,K$13)*(1+K$14),1)</f>
        <v/>
      </c>
      <c r="L18" s="48">
        <f>K18*(1+L$10)*(1-L$11)*IF(MOD((12+L$7),12)=0,IF((12+L$7)=12,L$12,L$13)*(1+L$14),1)</f>
        <v/>
      </c>
      <c r="M18" s="48">
        <f>L18*(1+M$10)*(1-M$11)*IF(MOD((12+M$7),12)=0,IF((12+M$7)=12,M$12,M$13)*(1+M$14),1)</f>
        <v/>
      </c>
      <c r="N18" s="48">
        <f>M18*(1+N$10)*(1-N$11)*IF(MOD((12+N$7),12)=0,IF((12+N$7)=12,N$12,N$13)*(1+N$14),1)</f>
        <v/>
      </c>
      <c r="O18" s="48">
        <f>N18*(1+O$10)*(1-O$11)*IF(MOD((12+O$7),12)=0,IF((12+O$7)=12,O$12,O$13)*(1+O$14),1)</f>
        <v/>
      </c>
      <c r="P18" s="48">
        <f>O18*(1+P$10)*(1-P$11)*IF(MOD((12+P$7),12)=0,IF((12+P$7)=12,P$12,P$13)*(1+P$14),1)</f>
        <v/>
      </c>
      <c r="Q18" s="48">
        <f>P18*(1+Q$10)*(1-Q$11)*IF(MOD((12+Q$7),12)=0,IF((12+Q$7)=12,Q$12,Q$13)*(1+Q$14),1)</f>
        <v/>
      </c>
      <c r="R18" s="48">
        <f>Q18*(1+R$10)*(1-R$11)*IF(MOD((12+R$7),12)=0,IF((12+R$7)=12,R$12,R$13)*(1+R$14),1)</f>
        <v/>
      </c>
      <c r="S18" s="48">
        <f>R18*(1+S$10)*(1-S$11)*IF(MOD((12+S$7),12)=0,IF((12+S$7)=12,S$12,S$13)*(1+S$14),1)</f>
        <v/>
      </c>
      <c r="T18" s="48">
        <f>S18*(1+T$10)*(1-T$11)*IF(MOD((12+T$7),12)=0,IF((12+T$7)=12,T$12,T$13)*(1+T$14),1)</f>
        <v/>
      </c>
      <c r="U18" s="48">
        <f>T18*(1+U$10)*(1-U$11)*IF(MOD((12+U$7),12)=0,IF((12+U$7)=12,U$12,U$13)*(1+U$14),1)</f>
        <v/>
      </c>
      <c r="V18" s="48">
        <f>U18*(1+V$10)*(1-V$11)*IF(MOD((12+V$7),12)=0,IF((12+V$7)=12,V$12,V$13)*(1+V$14),1)</f>
        <v/>
      </c>
      <c r="W18" s="48">
        <f>V18*(1+W$10)*(1-W$11)*IF(MOD((12+W$7),12)=0,IF((12+W$7)=12,W$12,W$13)*(1+W$14),1)</f>
        <v/>
      </c>
      <c r="X18" s="48">
        <f>W18*(1+X$10)*(1-X$11)*IF(MOD((12+X$7),12)=0,IF((12+X$7)=12,X$12,X$13)*(1+X$14),1)</f>
        <v/>
      </c>
      <c r="Y18" s="48">
        <f>X18*(1+Y$10)*(1-Y$11)*IF(MOD((12+Y$7),12)=0,IF((12+Y$7)=12,Y$12,Y$13)*(1+Y$14),1)</f>
        <v/>
      </c>
      <c r="Z18" s="48">
        <f>Y18*(1+Z$10)*(1-Z$11)*IF(MOD((12+Z$7),12)=0,IF((12+Z$7)=12,Z$12,Z$13)*(1+Z$14),1)</f>
        <v/>
      </c>
      <c r="AA18" s="48">
        <f>Z18*(1+AA$10)*(1-AA$11)*IF(MOD((12+AA$7),12)=0,IF((12+AA$7)=12,AA$12,AA$13)*(1+AA$14),1)</f>
        <v/>
      </c>
      <c r="AB18" s="48">
        <f>AA18*(1+AB$10)*(1-AB$11)*IF(MOD((12+AB$7),12)=0,IF((12+AB$7)=12,AB$12,AB$13)*(1+AB$14),1)</f>
        <v/>
      </c>
      <c r="AC18" s="48">
        <f>AB18*(1+AC$10)*(1-AC$11)*IF(MOD((12+AC$7),12)=0,IF((12+AC$7)=12,AC$12,AC$13)*(1+AC$14),1)</f>
        <v/>
      </c>
      <c r="AD18" s="48">
        <f>AC18*(1+AD$10)*(1-AD$11)*IF(MOD((12+AD$7),12)=0,IF((12+AD$7)=12,AD$12,AD$13)*(1+AD$14),1)</f>
        <v/>
      </c>
      <c r="AE18" s="48">
        <f>AD18*(1+AE$10)*(1-AE$11)*IF(MOD((12+AE$7),12)=0,IF((12+AE$7)=12,AE$12,AE$13)*(1+AE$14),1)</f>
        <v/>
      </c>
      <c r="AF18" s="48">
        <f>AE18*(1+AF$10)*(1-AF$11)*IF(MOD((12+AF$7),12)=0,IF((12+AF$7)=12,AF$12,AF$13)*(1+AF$14),1)</f>
        <v/>
      </c>
      <c r="AG18" s="48">
        <f>AF18*(1+AG$10)*(1-AG$11)*IF(MOD((12+AG$7),12)=0,IF((12+AG$7)=12,AG$12,AG$13)*(1+AG$14),1)</f>
        <v/>
      </c>
      <c r="AH18" s="48">
        <f>AG18*(1+AH$10)*(1-AH$11)*IF(MOD((12+AH$7),12)=0,IF((12+AH$7)=12,AH$12,AH$13)*(1+AH$14),1)</f>
        <v/>
      </c>
      <c r="AI18" s="48">
        <f>AH18*(1+AI$10)*(1-AI$11)*IF(MOD((12+AI$7),12)=0,IF((12+AI$7)=12,AI$12,AI$13)*(1+AI$14),1)</f>
        <v/>
      </c>
      <c r="AJ18" s="48">
        <f>AI18*(1+AJ$10)*(1-AJ$11)*IF(MOD((12+AJ$7),12)=0,IF((12+AJ$7)=12,AJ$12,AJ$13)*(1+AJ$14),1)</f>
        <v/>
      </c>
      <c r="AK18" s="48">
        <f>AJ18*(1+AK$10)*(1-AK$11)*IF(MOD((12+AK$7),12)=0,IF((12+AK$7)=12,AK$12,AK$13)*(1+AK$14),1)</f>
        <v/>
      </c>
      <c r="AL18" s="48">
        <f>AK18*(1+AL$10)*(1-AL$11)*IF(MOD((12+AL$7),12)=0,IF((12+AL$7)=12,AL$12,AL$13)*(1+AL$14),1)</f>
        <v/>
      </c>
      <c r="AM18" s="48">
        <f>AL18*(1+AM$10)*(1-AM$11)*IF(MOD((12+AM$7),12)=0,IF((12+AM$7)=12,AM$12,AM$13)*(1+AM$14),1)</f>
        <v/>
      </c>
      <c r="AN18" s="48">
        <f>AM18*(1+AN$10)*(1-AN$11)*IF(MOD((12+AN$7),12)=0,IF((12+AN$7)=12,AN$12,AN$13)*(1+AN$14),1)</f>
        <v/>
      </c>
      <c r="AO18" s="48">
        <f>AN18*(1+AO$10)*(1-AO$11)*IF(MOD((12+AO$7),12)=0,IF((12+AO$7)=12,AO$12,AO$13)*(1+AO$14),1)</f>
        <v/>
      </c>
      <c r="AP18" s="48">
        <f>AO18*(1+AP$10)*(1-AP$11)*IF(MOD((12+AP$7),12)=0,IF((12+AP$7)=12,AP$12,AP$13)*(1+AP$14),1)</f>
        <v/>
      </c>
      <c r="AQ18" s="48">
        <f>AP18*(1+AQ$10)*(1-AQ$11)*IF(MOD((12+AQ$7),12)=0,IF((12+AQ$7)=12,AQ$12,AQ$13)*(1+AQ$14),1)</f>
        <v/>
      </c>
      <c r="AR18" s="48">
        <f>AQ18*(1+AR$10)*(1-AR$11)*IF(MOD((12+AR$7),12)=0,IF((12+AR$7)=12,AR$12,AR$13)*(1+AR$14),1)</f>
        <v/>
      </c>
      <c r="AS18" s="48">
        <f>AR18*(1+AS$10)*(1-AS$11)*IF(MOD((12+AS$7),12)=0,IF((12+AS$7)=12,AS$12,AS$13)*(1+AS$14),1)</f>
        <v/>
      </c>
      <c r="AT18" s="48">
        <f>AS18*(1+AT$10)*(1-AT$11)*IF(MOD((12+AT$7),12)=0,IF((12+AT$7)=12,AT$12,AT$13)*(1+AT$14),1)</f>
        <v/>
      </c>
      <c r="AU18" s="48">
        <f>AT18*(1+AU$10)*(1-AU$11)*IF(MOD((12+AU$7),12)=0,IF((12+AU$7)=12,AU$12,AU$13)*(1+AU$14),1)</f>
        <v/>
      </c>
      <c r="AV18" s="48">
        <f>AU18*(1+AV$10)*(1-AV$11)*IF(MOD((12+AV$7),12)=0,IF((12+AV$7)=12,AV$12,AV$13)*(1+AV$14),1)</f>
        <v/>
      </c>
      <c r="AW18" s="48">
        <f>AV18*(1+AW$10)*(1-AW$11)*IF(MOD((12+AW$7),12)=0,IF((12+AW$7)=12,AW$12,AW$13)*(1+AW$14),1)</f>
        <v/>
      </c>
      <c r="AX18" s="48">
        <f>AW18*(1+AX$10)*(1-AX$11)*IF(MOD((12+AX$7),12)=0,IF((12+AX$7)=12,AX$12,AX$13)*(1+AX$14),1)</f>
        <v/>
      </c>
      <c r="AY18" s="48">
        <f>AX18*(1+AY$10)*(1-AY$11)*IF(MOD((12+AY$7),12)=0,IF((12+AY$7)=12,AY$12,AY$13)*(1+AY$14),1)</f>
        <v/>
      </c>
      <c r="AZ18" s="48">
        <f>AY18*(1+AZ$10)*(1-AZ$11)*IF(MOD((12+AZ$7),12)=0,IF((12+AZ$7)=12,AZ$12,AZ$13)*(1+AZ$14),1)</f>
        <v/>
      </c>
      <c r="BA18" s="48">
        <f>AZ18*(1+BA$10)*(1-BA$11)*IF(MOD((12+BA$7),12)=0,IF((12+BA$7)=12,BA$12,BA$13)*(1+BA$14),1)</f>
        <v/>
      </c>
      <c r="BB18" s="48">
        <f>BA18*(1+BB$10)*(1-BB$11)*IF(MOD((12+BB$7),12)=0,IF((12+BB$7)=12,BB$12,BB$13)*(1+BB$14),1)</f>
        <v/>
      </c>
      <c r="BC18" s="48">
        <f>BB18*(1+BC$10)*(1-BC$11)*IF(MOD((12+BC$7),12)=0,IF((12+BC$7)=12,BC$12,BC$13)*(1+BC$14),1)</f>
        <v/>
      </c>
      <c r="BD18" s="48">
        <f>BC18*(1+BD$10)*(1-BD$11)*IF(MOD((12+BD$7),12)=0,IF((12+BD$7)=12,BD$12,BD$13)*(1+BD$14),1)</f>
        <v/>
      </c>
      <c r="BE18" s="48">
        <f>BD18*(1+BE$10)*(1-BE$11)*IF(MOD((12+BE$7),12)=0,IF((12+BE$7)=12,BE$12,BE$13)*(1+BE$14),1)</f>
        <v/>
      </c>
      <c r="BF18" s="48">
        <f>BE18*(1+BF$10)*(1-BF$11)*IF(MOD((12+BF$7),12)=0,IF((12+BF$7)=12,BF$12,BF$13)*(1+BF$14),1)</f>
        <v/>
      </c>
      <c r="BG18" s="48">
        <f>BF18*(1+BG$10)*(1-BG$11)*IF(MOD((12+BG$7),12)=0,IF((12+BG$7)=12,BG$12,BG$13)*(1+BG$14),1)</f>
        <v/>
      </c>
      <c r="BH18" s="48">
        <f>BG18*(1+BH$10)*(1-BH$11)*IF(MOD((12+BH$7),12)=0,IF((12+BH$7)=12,BH$12,BH$13)*(1+BH$14),1)</f>
        <v/>
      </c>
      <c r="BI18" s="48">
        <f>BH18*(1+BI$10)*(1-BI$11)*IF(MOD((12+BI$7),12)=0,IF((12+BI$7)=12,BI$12,BI$13)*(1+BI$14),1)</f>
        <v/>
      </c>
      <c r="BJ18" s="48">
        <f>BI18*(1+BJ$10)*(1-BJ$11)*IF(MOD((12+BJ$7),12)=0,IF((12+BJ$7)=12,BJ$12,BJ$13)*(1+BJ$14),1)</f>
        <v/>
      </c>
      <c r="BK18" s="48">
        <f>BJ18*(1+BK$10)*(1-BK$11)*IF(MOD((12+BK$7),12)=0,IF((12+BK$7)=12,BK$12,BK$13)*(1+BK$14),1)</f>
        <v/>
      </c>
    </row>
    <row r="19" hidden="1" outlineLevel="1">
      <c r="B19" s="18" t="inlineStr">
        <is>
          <t xml:space="preserve">    Opening slice, age 11 months at start</t>
        </is>
      </c>
      <c r="C19" s="19" t="inlineStr">
        <is>
          <t>$</t>
        </is>
      </c>
      <c r="D19" s="48">
        <f>Inputs!$D$15/12*(1+D$10)*(1-D$11)*IF(MOD((11+D$7),12)=0,IF((11+D$7)=12,D$12,D$13)*(1+D$14),1)</f>
        <v/>
      </c>
      <c r="E19" s="48">
        <f>D19*(1+E$10)*(1-E$11)*IF(MOD((11+E$7),12)=0,IF((11+E$7)=12,E$12,E$13)*(1+E$14),1)</f>
        <v/>
      </c>
      <c r="F19" s="48">
        <f>E19*(1+F$10)*(1-F$11)*IF(MOD((11+F$7),12)=0,IF((11+F$7)=12,F$12,F$13)*(1+F$14),1)</f>
        <v/>
      </c>
      <c r="G19" s="48">
        <f>F19*(1+G$10)*(1-G$11)*IF(MOD((11+G$7),12)=0,IF((11+G$7)=12,G$12,G$13)*(1+G$14),1)</f>
        <v/>
      </c>
      <c r="H19" s="48">
        <f>G19*(1+H$10)*(1-H$11)*IF(MOD((11+H$7),12)=0,IF((11+H$7)=12,H$12,H$13)*(1+H$14),1)</f>
        <v/>
      </c>
      <c r="I19" s="48">
        <f>H19*(1+I$10)*(1-I$11)*IF(MOD((11+I$7),12)=0,IF((11+I$7)=12,I$12,I$13)*(1+I$14),1)</f>
        <v/>
      </c>
      <c r="J19" s="48">
        <f>I19*(1+J$10)*(1-J$11)*IF(MOD((11+J$7),12)=0,IF((11+J$7)=12,J$12,J$13)*(1+J$14),1)</f>
        <v/>
      </c>
      <c r="K19" s="48">
        <f>J19*(1+K$10)*(1-K$11)*IF(MOD((11+K$7),12)=0,IF((11+K$7)=12,K$12,K$13)*(1+K$14),1)</f>
        <v/>
      </c>
      <c r="L19" s="48">
        <f>K19*(1+L$10)*(1-L$11)*IF(MOD((11+L$7),12)=0,IF((11+L$7)=12,L$12,L$13)*(1+L$14),1)</f>
        <v/>
      </c>
      <c r="M19" s="48">
        <f>L19*(1+M$10)*(1-M$11)*IF(MOD((11+M$7),12)=0,IF((11+M$7)=12,M$12,M$13)*(1+M$14),1)</f>
        <v/>
      </c>
      <c r="N19" s="48">
        <f>M19*(1+N$10)*(1-N$11)*IF(MOD((11+N$7),12)=0,IF((11+N$7)=12,N$12,N$13)*(1+N$14),1)</f>
        <v/>
      </c>
      <c r="O19" s="48">
        <f>N19*(1+O$10)*(1-O$11)*IF(MOD((11+O$7),12)=0,IF((11+O$7)=12,O$12,O$13)*(1+O$14),1)</f>
        <v/>
      </c>
      <c r="P19" s="48">
        <f>O19*(1+P$10)*(1-P$11)*IF(MOD((11+P$7),12)=0,IF((11+P$7)=12,P$12,P$13)*(1+P$14),1)</f>
        <v/>
      </c>
      <c r="Q19" s="48">
        <f>P19*(1+Q$10)*(1-Q$11)*IF(MOD((11+Q$7),12)=0,IF((11+Q$7)=12,Q$12,Q$13)*(1+Q$14),1)</f>
        <v/>
      </c>
      <c r="R19" s="48">
        <f>Q19*(1+R$10)*(1-R$11)*IF(MOD((11+R$7),12)=0,IF((11+R$7)=12,R$12,R$13)*(1+R$14),1)</f>
        <v/>
      </c>
      <c r="S19" s="48">
        <f>R19*(1+S$10)*(1-S$11)*IF(MOD((11+S$7),12)=0,IF((11+S$7)=12,S$12,S$13)*(1+S$14),1)</f>
        <v/>
      </c>
      <c r="T19" s="48">
        <f>S19*(1+T$10)*(1-T$11)*IF(MOD((11+T$7),12)=0,IF((11+T$7)=12,T$12,T$13)*(1+T$14),1)</f>
        <v/>
      </c>
      <c r="U19" s="48">
        <f>T19*(1+U$10)*(1-U$11)*IF(MOD((11+U$7),12)=0,IF((11+U$7)=12,U$12,U$13)*(1+U$14),1)</f>
        <v/>
      </c>
      <c r="V19" s="48">
        <f>U19*(1+V$10)*(1-V$11)*IF(MOD((11+V$7),12)=0,IF((11+V$7)=12,V$12,V$13)*(1+V$14),1)</f>
        <v/>
      </c>
      <c r="W19" s="48">
        <f>V19*(1+W$10)*(1-W$11)*IF(MOD((11+W$7),12)=0,IF((11+W$7)=12,W$12,W$13)*(1+W$14),1)</f>
        <v/>
      </c>
      <c r="X19" s="48">
        <f>W19*(1+X$10)*(1-X$11)*IF(MOD((11+X$7),12)=0,IF((11+X$7)=12,X$12,X$13)*(1+X$14),1)</f>
        <v/>
      </c>
      <c r="Y19" s="48">
        <f>X19*(1+Y$10)*(1-Y$11)*IF(MOD((11+Y$7),12)=0,IF((11+Y$7)=12,Y$12,Y$13)*(1+Y$14),1)</f>
        <v/>
      </c>
      <c r="Z19" s="48">
        <f>Y19*(1+Z$10)*(1-Z$11)*IF(MOD((11+Z$7),12)=0,IF((11+Z$7)=12,Z$12,Z$13)*(1+Z$14),1)</f>
        <v/>
      </c>
      <c r="AA19" s="48">
        <f>Z19*(1+AA$10)*(1-AA$11)*IF(MOD((11+AA$7),12)=0,IF((11+AA$7)=12,AA$12,AA$13)*(1+AA$14),1)</f>
        <v/>
      </c>
      <c r="AB19" s="48">
        <f>AA19*(1+AB$10)*(1-AB$11)*IF(MOD((11+AB$7),12)=0,IF((11+AB$7)=12,AB$12,AB$13)*(1+AB$14),1)</f>
        <v/>
      </c>
      <c r="AC19" s="48">
        <f>AB19*(1+AC$10)*(1-AC$11)*IF(MOD((11+AC$7),12)=0,IF((11+AC$7)=12,AC$12,AC$13)*(1+AC$14),1)</f>
        <v/>
      </c>
      <c r="AD19" s="48">
        <f>AC19*(1+AD$10)*(1-AD$11)*IF(MOD((11+AD$7),12)=0,IF((11+AD$7)=12,AD$12,AD$13)*(1+AD$14),1)</f>
        <v/>
      </c>
      <c r="AE19" s="48">
        <f>AD19*(1+AE$10)*(1-AE$11)*IF(MOD((11+AE$7),12)=0,IF((11+AE$7)=12,AE$12,AE$13)*(1+AE$14),1)</f>
        <v/>
      </c>
      <c r="AF19" s="48">
        <f>AE19*(1+AF$10)*(1-AF$11)*IF(MOD((11+AF$7),12)=0,IF((11+AF$7)=12,AF$12,AF$13)*(1+AF$14),1)</f>
        <v/>
      </c>
      <c r="AG19" s="48">
        <f>AF19*(1+AG$10)*(1-AG$11)*IF(MOD((11+AG$7),12)=0,IF((11+AG$7)=12,AG$12,AG$13)*(1+AG$14),1)</f>
        <v/>
      </c>
      <c r="AH19" s="48">
        <f>AG19*(1+AH$10)*(1-AH$11)*IF(MOD((11+AH$7),12)=0,IF((11+AH$7)=12,AH$12,AH$13)*(1+AH$14),1)</f>
        <v/>
      </c>
      <c r="AI19" s="48">
        <f>AH19*(1+AI$10)*(1-AI$11)*IF(MOD((11+AI$7),12)=0,IF((11+AI$7)=12,AI$12,AI$13)*(1+AI$14),1)</f>
        <v/>
      </c>
      <c r="AJ19" s="48">
        <f>AI19*(1+AJ$10)*(1-AJ$11)*IF(MOD((11+AJ$7),12)=0,IF((11+AJ$7)=12,AJ$12,AJ$13)*(1+AJ$14),1)</f>
        <v/>
      </c>
      <c r="AK19" s="48">
        <f>AJ19*(1+AK$10)*(1-AK$11)*IF(MOD((11+AK$7),12)=0,IF((11+AK$7)=12,AK$12,AK$13)*(1+AK$14),1)</f>
        <v/>
      </c>
      <c r="AL19" s="48">
        <f>AK19*(1+AL$10)*(1-AL$11)*IF(MOD((11+AL$7),12)=0,IF((11+AL$7)=12,AL$12,AL$13)*(1+AL$14),1)</f>
        <v/>
      </c>
      <c r="AM19" s="48">
        <f>AL19*(1+AM$10)*(1-AM$11)*IF(MOD((11+AM$7),12)=0,IF((11+AM$7)=12,AM$12,AM$13)*(1+AM$14),1)</f>
        <v/>
      </c>
      <c r="AN19" s="48">
        <f>AM19*(1+AN$10)*(1-AN$11)*IF(MOD((11+AN$7),12)=0,IF((11+AN$7)=12,AN$12,AN$13)*(1+AN$14),1)</f>
        <v/>
      </c>
      <c r="AO19" s="48">
        <f>AN19*(1+AO$10)*(1-AO$11)*IF(MOD((11+AO$7),12)=0,IF((11+AO$7)=12,AO$12,AO$13)*(1+AO$14),1)</f>
        <v/>
      </c>
      <c r="AP19" s="48">
        <f>AO19*(1+AP$10)*(1-AP$11)*IF(MOD((11+AP$7),12)=0,IF((11+AP$7)=12,AP$12,AP$13)*(1+AP$14),1)</f>
        <v/>
      </c>
      <c r="AQ19" s="48">
        <f>AP19*(1+AQ$10)*(1-AQ$11)*IF(MOD((11+AQ$7),12)=0,IF((11+AQ$7)=12,AQ$12,AQ$13)*(1+AQ$14),1)</f>
        <v/>
      </c>
      <c r="AR19" s="48">
        <f>AQ19*(1+AR$10)*(1-AR$11)*IF(MOD((11+AR$7),12)=0,IF((11+AR$7)=12,AR$12,AR$13)*(1+AR$14),1)</f>
        <v/>
      </c>
      <c r="AS19" s="48">
        <f>AR19*(1+AS$10)*(1-AS$11)*IF(MOD((11+AS$7),12)=0,IF((11+AS$7)=12,AS$12,AS$13)*(1+AS$14),1)</f>
        <v/>
      </c>
      <c r="AT19" s="48">
        <f>AS19*(1+AT$10)*(1-AT$11)*IF(MOD((11+AT$7),12)=0,IF((11+AT$7)=12,AT$12,AT$13)*(1+AT$14),1)</f>
        <v/>
      </c>
      <c r="AU19" s="48">
        <f>AT19*(1+AU$10)*(1-AU$11)*IF(MOD((11+AU$7),12)=0,IF((11+AU$7)=12,AU$12,AU$13)*(1+AU$14),1)</f>
        <v/>
      </c>
      <c r="AV19" s="48">
        <f>AU19*(1+AV$10)*(1-AV$11)*IF(MOD((11+AV$7),12)=0,IF((11+AV$7)=12,AV$12,AV$13)*(1+AV$14),1)</f>
        <v/>
      </c>
      <c r="AW19" s="48">
        <f>AV19*(1+AW$10)*(1-AW$11)*IF(MOD((11+AW$7),12)=0,IF((11+AW$7)=12,AW$12,AW$13)*(1+AW$14),1)</f>
        <v/>
      </c>
      <c r="AX19" s="48">
        <f>AW19*(1+AX$10)*(1-AX$11)*IF(MOD((11+AX$7),12)=0,IF((11+AX$7)=12,AX$12,AX$13)*(1+AX$14),1)</f>
        <v/>
      </c>
      <c r="AY19" s="48">
        <f>AX19*(1+AY$10)*(1-AY$11)*IF(MOD((11+AY$7),12)=0,IF((11+AY$7)=12,AY$12,AY$13)*(1+AY$14),1)</f>
        <v/>
      </c>
      <c r="AZ19" s="48">
        <f>AY19*(1+AZ$10)*(1-AZ$11)*IF(MOD((11+AZ$7),12)=0,IF((11+AZ$7)=12,AZ$12,AZ$13)*(1+AZ$14),1)</f>
        <v/>
      </c>
      <c r="BA19" s="48">
        <f>AZ19*(1+BA$10)*(1-BA$11)*IF(MOD((11+BA$7),12)=0,IF((11+BA$7)=12,BA$12,BA$13)*(1+BA$14),1)</f>
        <v/>
      </c>
      <c r="BB19" s="48">
        <f>BA19*(1+BB$10)*(1-BB$11)*IF(MOD((11+BB$7),12)=0,IF((11+BB$7)=12,BB$12,BB$13)*(1+BB$14),1)</f>
        <v/>
      </c>
      <c r="BC19" s="48">
        <f>BB19*(1+BC$10)*(1-BC$11)*IF(MOD((11+BC$7),12)=0,IF((11+BC$7)=12,BC$12,BC$13)*(1+BC$14),1)</f>
        <v/>
      </c>
      <c r="BD19" s="48">
        <f>BC19*(1+BD$10)*(1-BD$11)*IF(MOD((11+BD$7),12)=0,IF((11+BD$7)=12,BD$12,BD$13)*(1+BD$14),1)</f>
        <v/>
      </c>
      <c r="BE19" s="48">
        <f>BD19*(1+BE$10)*(1-BE$11)*IF(MOD((11+BE$7),12)=0,IF((11+BE$7)=12,BE$12,BE$13)*(1+BE$14),1)</f>
        <v/>
      </c>
      <c r="BF19" s="48">
        <f>BE19*(1+BF$10)*(1-BF$11)*IF(MOD((11+BF$7),12)=0,IF((11+BF$7)=12,BF$12,BF$13)*(1+BF$14),1)</f>
        <v/>
      </c>
      <c r="BG19" s="48">
        <f>BF19*(1+BG$10)*(1-BG$11)*IF(MOD((11+BG$7),12)=0,IF((11+BG$7)=12,BG$12,BG$13)*(1+BG$14),1)</f>
        <v/>
      </c>
      <c r="BH19" s="48">
        <f>BG19*(1+BH$10)*(1-BH$11)*IF(MOD((11+BH$7),12)=0,IF((11+BH$7)=12,BH$12,BH$13)*(1+BH$14),1)</f>
        <v/>
      </c>
      <c r="BI19" s="48">
        <f>BH19*(1+BI$10)*(1-BI$11)*IF(MOD((11+BI$7),12)=0,IF((11+BI$7)=12,BI$12,BI$13)*(1+BI$14),1)</f>
        <v/>
      </c>
      <c r="BJ19" s="48">
        <f>BI19*(1+BJ$10)*(1-BJ$11)*IF(MOD((11+BJ$7),12)=0,IF((11+BJ$7)=12,BJ$12,BJ$13)*(1+BJ$14),1)</f>
        <v/>
      </c>
      <c r="BK19" s="48">
        <f>BJ19*(1+BK$10)*(1-BK$11)*IF(MOD((11+BK$7),12)=0,IF((11+BK$7)=12,BK$12,BK$13)*(1+BK$14),1)</f>
        <v/>
      </c>
    </row>
    <row r="20" hidden="1" outlineLevel="1">
      <c r="B20" s="18" t="inlineStr">
        <is>
          <t xml:space="preserve">    Opening slice, age 10 months at start</t>
        </is>
      </c>
      <c r="C20" s="19" t="inlineStr">
        <is>
          <t>$</t>
        </is>
      </c>
      <c r="D20" s="48">
        <f>Inputs!$D$15/12*(1+D$10)*(1-D$11)*IF(MOD((10+D$7),12)=0,IF((10+D$7)=12,D$12,D$13)*(1+D$14),1)</f>
        <v/>
      </c>
      <c r="E20" s="48">
        <f>D20*(1+E$10)*(1-E$11)*IF(MOD((10+E$7),12)=0,IF((10+E$7)=12,E$12,E$13)*(1+E$14),1)</f>
        <v/>
      </c>
      <c r="F20" s="48">
        <f>E20*(1+F$10)*(1-F$11)*IF(MOD((10+F$7),12)=0,IF((10+F$7)=12,F$12,F$13)*(1+F$14),1)</f>
        <v/>
      </c>
      <c r="G20" s="48">
        <f>F20*(1+G$10)*(1-G$11)*IF(MOD((10+G$7),12)=0,IF((10+G$7)=12,G$12,G$13)*(1+G$14),1)</f>
        <v/>
      </c>
      <c r="H20" s="48">
        <f>G20*(1+H$10)*(1-H$11)*IF(MOD((10+H$7),12)=0,IF((10+H$7)=12,H$12,H$13)*(1+H$14),1)</f>
        <v/>
      </c>
      <c r="I20" s="48">
        <f>H20*(1+I$10)*(1-I$11)*IF(MOD((10+I$7),12)=0,IF((10+I$7)=12,I$12,I$13)*(1+I$14),1)</f>
        <v/>
      </c>
      <c r="J20" s="48">
        <f>I20*(1+J$10)*(1-J$11)*IF(MOD((10+J$7),12)=0,IF((10+J$7)=12,J$12,J$13)*(1+J$14),1)</f>
        <v/>
      </c>
      <c r="K20" s="48">
        <f>J20*(1+K$10)*(1-K$11)*IF(MOD((10+K$7),12)=0,IF((10+K$7)=12,K$12,K$13)*(1+K$14),1)</f>
        <v/>
      </c>
      <c r="L20" s="48">
        <f>K20*(1+L$10)*(1-L$11)*IF(MOD((10+L$7),12)=0,IF((10+L$7)=12,L$12,L$13)*(1+L$14),1)</f>
        <v/>
      </c>
      <c r="M20" s="48">
        <f>L20*(1+M$10)*(1-M$11)*IF(MOD((10+M$7),12)=0,IF((10+M$7)=12,M$12,M$13)*(1+M$14),1)</f>
        <v/>
      </c>
      <c r="N20" s="48">
        <f>M20*(1+N$10)*(1-N$11)*IF(MOD((10+N$7),12)=0,IF((10+N$7)=12,N$12,N$13)*(1+N$14),1)</f>
        <v/>
      </c>
      <c r="O20" s="48">
        <f>N20*(1+O$10)*(1-O$11)*IF(MOD((10+O$7),12)=0,IF((10+O$7)=12,O$12,O$13)*(1+O$14),1)</f>
        <v/>
      </c>
      <c r="P20" s="48">
        <f>O20*(1+P$10)*(1-P$11)*IF(MOD((10+P$7),12)=0,IF((10+P$7)=12,P$12,P$13)*(1+P$14),1)</f>
        <v/>
      </c>
      <c r="Q20" s="48">
        <f>P20*(1+Q$10)*(1-Q$11)*IF(MOD((10+Q$7),12)=0,IF((10+Q$7)=12,Q$12,Q$13)*(1+Q$14),1)</f>
        <v/>
      </c>
      <c r="R20" s="48">
        <f>Q20*(1+R$10)*(1-R$11)*IF(MOD((10+R$7),12)=0,IF((10+R$7)=12,R$12,R$13)*(1+R$14),1)</f>
        <v/>
      </c>
      <c r="S20" s="48">
        <f>R20*(1+S$10)*(1-S$11)*IF(MOD((10+S$7),12)=0,IF((10+S$7)=12,S$12,S$13)*(1+S$14),1)</f>
        <v/>
      </c>
      <c r="T20" s="48">
        <f>S20*(1+T$10)*(1-T$11)*IF(MOD((10+T$7),12)=0,IF((10+T$7)=12,T$12,T$13)*(1+T$14),1)</f>
        <v/>
      </c>
      <c r="U20" s="48">
        <f>T20*(1+U$10)*(1-U$11)*IF(MOD((10+U$7),12)=0,IF((10+U$7)=12,U$12,U$13)*(1+U$14),1)</f>
        <v/>
      </c>
      <c r="V20" s="48">
        <f>U20*(1+V$10)*(1-V$11)*IF(MOD((10+V$7),12)=0,IF((10+V$7)=12,V$12,V$13)*(1+V$14),1)</f>
        <v/>
      </c>
      <c r="W20" s="48">
        <f>V20*(1+W$10)*(1-W$11)*IF(MOD((10+W$7),12)=0,IF((10+W$7)=12,W$12,W$13)*(1+W$14),1)</f>
        <v/>
      </c>
      <c r="X20" s="48">
        <f>W20*(1+X$10)*(1-X$11)*IF(MOD((10+X$7),12)=0,IF((10+X$7)=12,X$12,X$13)*(1+X$14),1)</f>
        <v/>
      </c>
      <c r="Y20" s="48">
        <f>X20*(1+Y$10)*(1-Y$11)*IF(MOD((10+Y$7),12)=0,IF((10+Y$7)=12,Y$12,Y$13)*(1+Y$14),1)</f>
        <v/>
      </c>
      <c r="Z20" s="48">
        <f>Y20*(1+Z$10)*(1-Z$11)*IF(MOD((10+Z$7),12)=0,IF((10+Z$7)=12,Z$12,Z$13)*(1+Z$14),1)</f>
        <v/>
      </c>
      <c r="AA20" s="48">
        <f>Z20*(1+AA$10)*(1-AA$11)*IF(MOD((10+AA$7),12)=0,IF((10+AA$7)=12,AA$12,AA$13)*(1+AA$14),1)</f>
        <v/>
      </c>
      <c r="AB20" s="48">
        <f>AA20*(1+AB$10)*(1-AB$11)*IF(MOD((10+AB$7),12)=0,IF((10+AB$7)=12,AB$12,AB$13)*(1+AB$14),1)</f>
        <v/>
      </c>
      <c r="AC20" s="48">
        <f>AB20*(1+AC$10)*(1-AC$11)*IF(MOD((10+AC$7),12)=0,IF((10+AC$7)=12,AC$12,AC$13)*(1+AC$14),1)</f>
        <v/>
      </c>
      <c r="AD20" s="48">
        <f>AC20*(1+AD$10)*(1-AD$11)*IF(MOD((10+AD$7),12)=0,IF((10+AD$7)=12,AD$12,AD$13)*(1+AD$14),1)</f>
        <v/>
      </c>
      <c r="AE20" s="48">
        <f>AD20*(1+AE$10)*(1-AE$11)*IF(MOD((10+AE$7),12)=0,IF((10+AE$7)=12,AE$12,AE$13)*(1+AE$14),1)</f>
        <v/>
      </c>
      <c r="AF20" s="48">
        <f>AE20*(1+AF$10)*(1-AF$11)*IF(MOD((10+AF$7),12)=0,IF((10+AF$7)=12,AF$12,AF$13)*(1+AF$14),1)</f>
        <v/>
      </c>
      <c r="AG20" s="48">
        <f>AF20*(1+AG$10)*(1-AG$11)*IF(MOD((10+AG$7),12)=0,IF((10+AG$7)=12,AG$12,AG$13)*(1+AG$14),1)</f>
        <v/>
      </c>
      <c r="AH20" s="48">
        <f>AG20*(1+AH$10)*(1-AH$11)*IF(MOD((10+AH$7),12)=0,IF((10+AH$7)=12,AH$12,AH$13)*(1+AH$14),1)</f>
        <v/>
      </c>
      <c r="AI20" s="48">
        <f>AH20*(1+AI$10)*(1-AI$11)*IF(MOD((10+AI$7),12)=0,IF((10+AI$7)=12,AI$12,AI$13)*(1+AI$14),1)</f>
        <v/>
      </c>
      <c r="AJ20" s="48">
        <f>AI20*(1+AJ$10)*(1-AJ$11)*IF(MOD((10+AJ$7),12)=0,IF((10+AJ$7)=12,AJ$12,AJ$13)*(1+AJ$14),1)</f>
        <v/>
      </c>
      <c r="AK20" s="48">
        <f>AJ20*(1+AK$10)*(1-AK$11)*IF(MOD((10+AK$7),12)=0,IF((10+AK$7)=12,AK$12,AK$13)*(1+AK$14),1)</f>
        <v/>
      </c>
      <c r="AL20" s="48">
        <f>AK20*(1+AL$10)*(1-AL$11)*IF(MOD((10+AL$7),12)=0,IF((10+AL$7)=12,AL$12,AL$13)*(1+AL$14),1)</f>
        <v/>
      </c>
      <c r="AM20" s="48">
        <f>AL20*(1+AM$10)*(1-AM$11)*IF(MOD((10+AM$7),12)=0,IF((10+AM$7)=12,AM$12,AM$13)*(1+AM$14),1)</f>
        <v/>
      </c>
      <c r="AN20" s="48">
        <f>AM20*(1+AN$10)*(1-AN$11)*IF(MOD((10+AN$7),12)=0,IF((10+AN$7)=12,AN$12,AN$13)*(1+AN$14),1)</f>
        <v/>
      </c>
      <c r="AO20" s="48">
        <f>AN20*(1+AO$10)*(1-AO$11)*IF(MOD((10+AO$7),12)=0,IF((10+AO$7)=12,AO$12,AO$13)*(1+AO$14),1)</f>
        <v/>
      </c>
      <c r="AP20" s="48">
        <f>AO20*(1+AP$10)*(1-AP$11)*IF(MOD((10+AP$7),12)=0,IF((10+AP$7)=12,AP$12,AP$13)*(1+AP$14),1)</f>
        <v/>
      </c>
      <c r="AQ20" s="48">
        <f>AP20*(1+AQ$10)*(1-AQ$11)*IF(MOD((10+AQ$7),12)=0,IF((10+AQ$7)=12,AQ$12,AQ$13)*(1+AQ$14),1)</f>
        <v/>
      </c>
      <c r="AR20" s="48">
        <f>AQ20*(1+AR$10)*(1-AR$11)*IF(MOD((10+AR$7),12)=0,IF((10+AR$7)=12,AR$12,AR$13)*(1+AR$14),1)</f>
        <v/>
      </c>
      <c r="AS20" s="48">
        <f>AR20*(1+AS$10)*(1-AS$11)*IF(MOD((10+AS$7),12)=0,IF((10+AS$7)=12,AS$12,AS$13)*(1+AS$14),1)</f>
        <v/>
      </c>
      <c r="AT20" s="48">
        <f>AS20*(1+AT$10)*(1-AT$11)*IF(MOD((10+AT$7),12)=0,IF((10+AT$7)=12,AT$12,AT$13)*(1+AT$14),1)</f>
        <v/>
      </c>
      <c r="AU20" s="48">
        <f>AT20*(1+AU$10)*(1-AU$11)*IF(MOD((10+AU$7),12)=0,IF((10+AU$7)=12,AU$12,AU$13)*(1+AU$14),1)</f>
        <v/>
      </c>
      <c r="AV20" s="48">
        <f>AU20*(1+AV$10)*(1-AV$11)*IF(MOD((10+AV$7),12)=0,IF((10+AV$7)=12,AV$12,AV$13)*(1+AV$14),1)</f>
        <v/>
      </c>
      <c r="AW20" s="48">
        <f>AV20*(1+AW$10)*(1-AW$11)*IF(MOD((10+AW$7),12)=0,IF((10+AW$7)=12,AW$12,AW$13)*(1+AW$14),1)</f>
        <v/>
      </c>
      <c r="AX20" s="48">
        <f>AW20*(1+AX$10)*(1-AX$11)*IF(MOD((10+AX$7),12)=0,IF((10+AX$7)=12,AX$12,AX$13)*(1+AX$14),1)</f>
        <v/>
      </c>
      <c r="AY20" s="48">
        <f>AX20*(1+AY$10)*(1-AY$11)*IF(MOD((10+AY$7),12)=0,IF((10+AY$7)=12,AY$12,AY$13)*(1+AY$14),1)</f>
        <v/>
      </c>
      <c r="AZ20" s="48">
        <f>AY20*(1+AZ$10)*(1-AZ$11)*IF(MOD((10+AZ$7),12)=0,IF((10+AZ$7)=12,AZ$12,AZ$13)*(1+AZ$14),1)</f>
        <v/>
      </c>
      <c r="BA20" s="48">
        <f>AZ20*(1+BA$10)*(1-BA$11)*IF(MOD((10+BA$7),12)=0,IF((10+BA$7)=12,BA$12,BA$13)*(1+BA$14),1)</f>
        <v/>
      </c>
      <c r="BB20" s="48">
        <f>BA20*(1+BB$10)*(1-BB$11)*IF(MOD((10+BB$7),12)=0,IF((10+BB$7)=12,BB$12,BB$13)*(1+BB$14),1)</f>
        <v/>
      </c>
      <c r="BC20" s="48">
        <f>BB20*(1+BC$10)*(1-BC$11)*IF(MOD((10+BC$7),12)=0,IF((10+BC$7)=12,BC$12,BC$13)*(1+BC$14),1)</f>
        <v/>
      </c>
      <c r="BD20" s="48">
        <f>BC20*(1+BD$10)*(1-BD$11)*IF(MOD((10+BD$7),12)=0,IF((10+BD$7)=12,BD$12,BD$13)*(1+BD$14),1)</f>
        <v/>
      </c>
      <c r="BE20" s="48">
        <f>BD20*(1+BE$10)*(1-BE$11)*IF(MOD((10+BE$7),12)=0,IF((10+BE$7)=12,BE$12,BE$13)*(1+BE$14),1)</f>
        <v/>
      </c>
      <c r="BF20" s="48">
        <f>BE20*(1+BF$10)*(1-BF$11)*IF(MOD((10+BF$7),12)=0,IF((10+BF$7)=12,BF$12,BF$13)*(1+BF$14),1)</f>
        <v/>
      </c>
      <c r="BG20" s="48">
        <f>BF20*(1+BG$10)*(1-BG$11)*IF(MOD((10+BG$7),12)=0,IF((10+BG$7)=12,BG$12,BG$13)*(1+BG$14),1)</f>
        <v/>
      </c>
      <c r="BH20" s="48">
        <f>BG20*(1+BH$10)*(1-BH$11)*IF(MOD((10+BH$7),12)=0,IF((10+BH$7)=12,BH$12,BH$13)*(1+BH$14),1)</f>
        <v/>
      </c>
      <c r="BI20" s="48">
        <f>BH20*(1+BI$10)*(1-BI$11)*IF(MOD((10+BI$7),12)=0,IF((10+BI$7)=12,BI$12,BI$13)*(1+BI$14),1)</f>
        <v/>
      </c>
      <c r="BJ20" s="48">
        <f>BI20*(1+BJ$10)*(1-BJ$11)*IF(MOD((10+BJ$7),12)=0,IF((10+BJ$7)=12,BJ$12,BJ$13)*(1+BJ$14),1)</f>
        <v/>
      </c>
      <c r="BK20" s="48">
        <f>BJ20*(1+BK$10)*(1-BK$11)*IF(MOD((10+BK$7),12)=0,IF((10+BK$7)=12,BK$12,BK$13)*(1+BK$14),1)</f>
        <v/>
      </c>
    </row>
    <row r="21" hidden="1" outlineLevel="1">
      <c r="B21" s="18" t="inlineStr">
        <is>
          <t xml:space="preserve">    Opening slice, age 9 months at start</t>
        </is>
      </c>
      <c r="C21" s="19" t="inlineStr">
        <is>
          <t>$</t>
        </is>
      </c>
      <c r="D21" s="48">
        <f>Inputs!$D$15/12*(1+D$10)*(1-D$11)*IF(MOD((9+D$7),12)=0,IF((9+D$7)=12,D$12,D$13)*(1+D$14),1)</f>
        <v/>
      </c>
      <c r="E21" s="48">
        <f>D21*(1+E$10)*(1-E$11)*IF(MOD((9+E$7),12)=0,IF((9+E$7)=12,E$12,E$13)*(1+E$14),1)</f>
        <v/>
      </c>
      <c r="F21" s="48">
        <f>E21*(1+F$10)*(1-F$11)*IF(MOD((9+F$7),12)=0,IF((9+F$7)=12,F$12,F$13)*(1+F$14),1)</f>
        <v/>
      </c>
      <c r="G21" s="48">
        <f>F21*(1+G$10)*(1-G$11)*IF(MOD((9+G$7),12)=0,IF((9+G$7)=12,G$12,G$13)*(1+G$14),1)</f>
        <v/>
      </c>
      <c r="H21" s="48">
        <f>G21*(1+H$10)*(1-H$11)*IF(MOD((9+H$7),12)=0,IF((9+H$7)=12,H$12,H$13)*(1+H$14),1)</f>
        <v/>
      </c>
      <c r="I21" s="48">
        <f>H21*(1+I$10)*(1-I$11)*IF(MOD((9+I$7),12)=0,IF((9+I$7)=12,I$12,I$13)*(1+I$14),1)</f>
        <v/>
      </c>
      <c r="J21" s="48">
        <f>I21*(1+J$10)*(1-J$11)*IF(MOD((9+J$7),12)=0,IF((9+J$7)=12,J$12,J$13)*(1+J$14),1)</f>
        <v/>
      </c>
      <c r="K21" s="48">
        <f>J21*(1+K$10)*(1-K$11)*IF(MOD((9+K$7),12)=0,IF((9+K$7)=12,K$12,K$13)*(1+K$14),1)</f>
        <v/>
      </c>
      <c r="L21" s="48">
        <f>K21*(1+L$10)*(1-L$11)*IF(MOD((9+L$7),12)=0,IF((9+L$7)=12,L$12,L$13)*(1+L$14),1)</f>
        <v/>
      </c>
      <c r="M21" s="48">
        <f>L21*(1+M$10)*(1-M$11)*IF(MOD((9+M$7),12)=0,IF((9+M$7)=12,M$12,M$13)*(1+M$14),1)</f>
        <v/>
      </c>
      <c r="N21" s="48">
        <f>M21*(1+N$10)*(1-N$11)*IF(MOD((9+N$7),12)=0,IF((9+N$7)=12,N$12,N$13)*(1+N$14),1)</f>
        <v/>
      </c>
      <c r="O21" s="48">
        <f>N21*(1+O$10)*(1-O$11)*IF(MOD((9+O$7),12)=0,IF((9+O$7)=12,O$12,O$13)*(1+O$14),1)</f>
        <v/>
      </c>
      <c r="P21" s="48">
        <f>O21*(1+P$10)*(1-P$11)*IF(MOD((9+P$7),12)=0,IF((9+P$7)=12,P$12,P$13)*(1+P$14),1)</f>
        <v/>
      </c>
      <c r="Q21" s="48">
        <f>P21*(1+Q$10)*(1-Q$11)*IF(MOD((9+Q$7),12)=0,IF((9+Q$7)=12,Q$12,Q$13)*(1+Q$14),1)</f>
        <v/>
      </c>
      <c r="R21" s="48">
        <f>Q21*(1+R$10)*(1-R$11)*IF(MOD((9+R$7),12)=0,IF((9+R$7)=12,R$12,R$13)*(1+R$14),1)</f>
        <v/>
      </c>
      <c r="S21" s="48">
        <f>R21*(1+S$10)*(1-S$11)*IF(MOD((9+S$7),12)=0,IF((9+S$7)=12,S$12,S$13)*(1+S$14),1)</f>
        <v/>
      </c>
      <c r="T21" s="48">
        <f>S21*(1+T$10)*(1-T$11)*IF(MOD((9+T$7),12)=0,IF((9+T$7)=12,T$12,T$13)*(1+T$14),1)</f>
        <v/>
      </c>
      <c r="U21" s="48">
        <f>T21*(1+U$10)*(1-U$11)*IF(MOD((9+U$7),12)=0,IF((9+U$7)=12,U$12,U$13)*(1+U$14),1)</f>
        <v/>
      </c>
      <c r="V21" s="48">
        <f>U21*(1+V$10)*(1-V$11)*IF(MOD((9+V$7),12)=0,IF((9+V$7)=12,V$12,V$13)*(1+V$14),1)</f>
        <v/>
      </c>
      <c r="W21" s="48">
        <f>V21*(1+W$10)*(1-W$11)*IF(MOD((9+W$7),12)=0,IF((9+W$7)=12,W$12,W$13)*(1+W$14),1)</f>
        <v/>
      </c>
      <c r="X21" s="48">
        <f>W21*(1+X$10)*(1-X$11)*IF(MOD((9+X$7),12)=0,IF((9+X$7)=12,X$12,X$13)*(1+X$14),1)</f>
        <v/>
      </c>
      <c r="Y21" s="48">
        <f>X21*(1+Y$10)*(1-Y$11)*IF(MOD((9+Y$7),12)=0,IF((9+Y$7)=12,Y$12,Y$13)*(1+Y$14),1)</f>
        <v/>
      </c>
      <c r="Z21" s="48">
        <f>Y21*(1+Z$10)*(1-Z$11)*IF(MOD((9+Z$7),12)=0,IF((9+Z$7)=12,Z$12,Z$13)*(1+Z$14),1)</f>
        <v/>
      </c>
      <c r="AA21" s="48">
        <f>Z21*(1+AA$10)*(1-AA$11)*IF(MOD((9+AA$7),12)=0,IF((9+AA$7)=12,AA$12,AA$13)*(1+AA$14),1)</f>
        <v/>
      </c>
      <c r="AB21" s="48">
        <f>AA21*(1+AB$10)*(1-AB$11)*IF(MOD((9+AB$7),12)=0,IF((9+AB$7)=12,AB$12,AB$13)*(1+AB$14),1)</f>
        <v/>
      </c>
      <c r="AC21" s="48">
        <f>AB21*(1+AC$10)*(1-AC$11)*IF(MOD((9+AC$7),12)=0,IF((9+AC$7)=12,AC$12,AC$13)*(1+AC$14),1)</f>
        <v/>
      </c>
      <c r="AD21" s="48">
        <f>AC21*(1+AD$10)*(1-AD$11)*IF(MOD((9+AD$7),12)=0,IF((9+AD$7)=12,AD$12,AD$13)*(1+AD$14),1)</f>
        <v/>
      </c>
      <c r="AE21" s="48">
        <f>AD21*(1+AE$10)*(1-AE$11)*IF(MOD((9+AE$7),12)=0,IF((9+AE$7)=12,AE$12,AE$13)*(1+AE$14),1)</f>
        <v/>
      </c>
      <c r="AF21" s="48">
        <f>AE21*(1+AF$10)*(1-AF$11)*IF(MOD((9+AF$7),12)=0,IF((9+AF$7)=12,AF$12,AF$13)*(1+AF$14),1)</f>
        <v/>
      </c>
      <c r="AG21" s="48">
        <f>AF21*(1+AG$10)*(1-AG$11)*IF(MOD((9+AG$7),12)=0,IF((9+AG$7)=12,AG$12,AG$13)*(1+AG$14),1)</f>
        <v/>
      </c>
      <c r="AH21" s="48">
        <f>AG21*(1+AH$10)*(1-AH$11)*IF(MOD((9+AH$7),12)=0,IF((9+AH$7)=12,AH$12,AH$13)*(1+AH$14),1)</f>
        <v/>
      </c>
      <c r="AI21" s="48">
        <f>AH21*(1+AI$10)*(1-AI$11)*IF(MOD((9+AI$7),12)=0,IF((9+AI$7)=12,AI$12,AI$13)*(1+AI$14),1)</f>
        <v/>
      </c>
      <c r="AJ21" s="48">
        <f>AI21*(1+AJ$10)*(1-AJ$11)*IF(MOD((9+AJ$7),12)=0,IF((9+AJ$7)=12,AJ$12,AJ$13)*(1+AJ$14),1)</f>
        <v/>
      </c>
      <c r="AK21" s="48">
        <f>AJ21*(1+AK$10)*(1-AK$11)*IF(MOD((9+AK$7),12)=0,IF((9+AK$7)=12,AK$12,AK$13)*(1+AK$14),1)</f>
        <v/>
      </c>
      <c r="AL21" s="48">
        <f>AK21*(1+AL$10)*(1-AL$11)*IF(MOD((9+AL$7),12)=0,IF((9+AL$7)=12,AL$12,AL$13)*(1+AL$14),1)</f>
        <v/>
      </c>
      <c r="AM21" s="48">
        <f>AL21*(1+AM$10)*(1-AM$11)*IF(MOD((9+AM$7),12)=0,IF((9+AM$7)=12,AM$12,AM$13)*(1+AM$14),1)</f>
        <v/>
      </c>
      <c r="AN21" s="48">
        <f>AM21*(1+AN$10)*(1-AN$11)*IF(MOD((9+AN$7),12)=0,IF((9+AN$7)=12,AN$12,AN$13)*(1+AN$14),1)</f>
        <v/>
      </c>
      <c r="AO21" s="48">
        <f>AN21*(1+AO$10)*(1-AO$11)*IF(MOD((9+AO$7),12)=0,IF((9+AO$7)=12,AO$12,AO$13)*(1+AO$14),1)</f>
        <v/>
      </c>
      <c r="AP21" s="48">
        <f>AO21*(1+AP$10)*(1-AP$11)*IF(MOD((9+AP$7),12)=0,IF((9+AP$7)=12,AP$12,AP$13)*(1+AP$14),1)</f>
        <v/>
      </c>
      <c r="AQ21" s="48">
        <f>AP21*(1+AQ$10)*(1-AQ$11)*IF(MOD((9+AQ$7),12)=0,IF((9+AQ$7)=12,AQ$12,AQ$13)*(1+AQ$14),1)</f>
        <v/>
      </c>
      <c r="AR21" s="48">
        <f>AQ21*(1+AR$10)*(1-AR$11)*IF(MOD((9+AR$7),12)=0,IF((9+AR$7)=12,AR$12,AR$13)*(1+AR$14),1)</f>
        <v/>
      </c>
      <c r="AS21" s="48">
        <f>AR21*(1+AS$10)*(1-AS$11)*IF(MOD((9+AS$7),12)=0,IF((9+AS$7)=12,AS$12,AS$13)*(1+AS$14),1)</f>
        <v/>
      </c>
      <c r="AT21" s="48">
        <f>AS21*(1+AT$10)*(1-AT$11)*IF(MOD((9+AT$7),12)=0,IF((9+AT$7)=12,AT$12,AT$13)*(1+AT$14),1)</f>
        <v/>
      </c>
      <c r="AU21" s="48">
        <f>AT21*(1+AU$10)*(1-AU$11)*IF(MOD((9+AU$7),12)=0,IF((9+AU$7)=12,AU$12,AU$13)*(1+AU$14),1)</f>
        <v/>
      </c>
      <c r="AV21" s="48">
        <f>AU21*(1+AV$10)*(1-AV$11)*IF(MOD((9+AV$7),12)=0,IF((9+AV$7)=12,AV$12,AV$13)*(1+AV$14),1)</f>
        <v/>
      </c>
      <c r="AW21" s="48">
        <f>AV21*(1+AW$10)*(1-AW$11)*IF(MOD((9+AW$7),12)=0,IF((9+AW$7)=12,AW$12,AW$13)*(1+AW$14),1)</f>
        <v/>
      </c>
      <c r="AX21" s="48">
        <f>AW21*(1+AX$10)*(1-AX$11)*IF(MOD((9+AX$7),12)=0,IF((9+AX$7)=12,AX$12,AX$13)*(1+AX$14),1)</f>
        <v/>
      </c>
      <c r="AY21" s="48">
        <f>AX21*(1+AY$10)*(1-AY$11)*IF(MOD((9+AY$7),12)=0,IF((9+AY$7)=12,AY$12,AY$13)*(1+AY$14),1)</f>
        <v/>
      </c>
      <c r="AZ21" s="48">
        <f>AY21*(1+AZ$10)*(1-AZ$11)*IF(MOD((9+AZ$7),12)=0,IF((9+AZ$7)=12,AZ$12,AZ$13)*(1+AZ$14),1)</f>
        <v/>
      </c>
      <c r="BA21" s="48">
        <f>AZ21*(1+BA$10)*(1-BA$11)*IF(MOD((9+BA$7),12)=0,IF((9+BA$7)=12,BA$12,BA$13)*(1+BA$14),1)</f>
        <v/>
      </c>
      <c r="BB21" s="48">
        <f>BA21*(1+BB$10)*(1-BB$11)*IF(MOD((9+BB$7),12)=0,IF((9+BB$7)=12,BB$12,BB$13)*(1+BB$14),1)</f>
        <v/>
      </c>
      <c r="BC21" s="48">
        <f>BB21*(1+BC$10)*(1-BC$11)*IF(MOD((9+BC$7),12)=0,IF((9+BC$7)=12,BC$12,BC$13)*(1+BC$14),1)</f>
        <v/>
      </c>
      <c r="BD21" s="48">
        <f>BC21*(1+BD$10)*(1-BD$11)*IF(MOD((9+BD$7),12)=0,IF((9+BD$7)=12,BD$12,BD$13)*(1+BD$14),1)</f>
        <v/>
      </c>
      <c r="BE21" s="48">
        <f>BD21*(1+BE$10)*(1-BE$11)*IF(MOD((9+BE$7),12)=0,IF((9+BE$7)=12,BE$12,BE$13)*(1+BE$14),1)</f>
        <v/>
      </c>
      <c r="BF21" s="48">
        <f>BE21*(1+BF$10)*(1-BF$11)*IF(MOD((9+BF$7),12)=0,IF((9+BF$7)=12,BF$12,BF$13)*(1+BF$14),1)</f>
        <v/>
      </c>
      <c r="BG21" s="48">
        <f>BF21*(1+BG$10)*(1-BG$11)*IF(MOD((9+BG$7),12)=0,IF((9+BG$7)=12,BG$12,BG$13)*(1+BG$14),1)</f>
        <v/>
      </c>
      <c r="BH21" s="48">
        <f>BG21*(1+BH$10)*(1-BH$11)*IF(MOD((9+BH$7),12)=0,IF((9+BH$7)=12,BH$12,BH$13)*(1+BH$14),1)</f>
        <v/>
      </c>
      <c r="BI21" s="48">
        <f>BH21*(1+BI$10)*(1-BI$11)*IF(MOD((9+BI$7),12)=0,IF((9+BI$7)=12,BI$12,BI$13)*(1+BI$14),1)</f>
        <v/>
      </c>
      <c r="BJ21" s="48">
        <f>BI21*(1+BJ$10)*(1-BJ$11)*IF(MOD((9+BJ$7),12)=0,IF((9+BJ$7)=12,BJ$12,BJ$13)*(1+BJ$14),1)</f>
        <v/>
      </c>
      <c r="BK21" s="48">
        <f>BJ21*(1+BK$10)*(1-BK$11)*IF(MOD((9+BK$7),12)=0,IF((9+BK$7)=12,BK$12,BK$13)*(1+BK$14),1)</f>
        <v/>
      </c>
    </row>
    <row r="22" hidden="1" outlineLevel="1">
      <c r="B22" s="18" t="inlineStr">
        <is>
          <t xml:space="preserve">    Opening slice, age 8 months at start</t>
        </is>
      </c>
      <c r="C22" s="19" t="inlineStr">
        <is>
          <t>$</t>
        </is>
      </c>
      <c r="D22" s="48">
        <f>Inputs!$D$15/12*(1+D$10)*(1-D$11)*IF(MOD((8+D$7),12)=0,IF((8+D$7)=12,D$12,D$13)*(1+D$14),1)</f>
        <v/>
      </c>
      <c r="E22" s="48">
        <f>D22*(1+E$10)*(1-E$11)*IF(MOD((8+E$7),12)=0,IF((8+E$7)=12,E$12,E$13)*(1+E$14),1)</f>
        <v/>
      </c>
      <c r="F22" s="48">
        <f>E22*(1+F$10)*(1-F$11)*IF(MOD((8+F$7),12)=0,IF((8+F$7)=12,F$12,F$13)*(1+F$14),1)</f>
        <v/>
      </c>
      <c r="G22" s="48">
        <f>F22*(1+G$10)*(1-G$11)*IF(MOD((8+G$7),12)=0,IF((8+G$7)=12,G$12,G$13)*(1+G$14),1)</f>
        <v/>
      </c>
      <c r="H22" s="48">
        <f>G22*(1+H$10)*(1-H$11)*IF(MOD((8+H$7),12)=0,IF((8+H$7)=12,H$12,H$13)*(1+H$14),1)</f>
        <v/>
      </c>
      <c r="I22" s="48">
        <f>H22*(1+I$10)*(1-I$11)*IF(MOD((8+I$7),12)=0,IF((8+I$7)=12,I$12,I$13)*(1+I$14),1)</f>
        <v/>
      </c>
      <c r="J22" s="48">
        <f>I22*(1+J$10)*(1-J$11)*IF(MOD((8+J$7),12)=0,IF((8+J$7)=12,J$12,J$13)*(1+J$14),1)</f>
        <v/>
      </c>
      <c r="K22" s="48">
        <f>J22*(1+K$10)*(1-K$11)*IF(MOD((8+K$7),12)=0,IF((8+K$7)=12,K$12,K$13)*(1+K$14),1)</f>
        <v/>
      </c>
      <c r="L22" s="48">
        <f>K22*(1+L$10)*(1-L$11)*IF(MOD((8+L$7),12)=0,IF((8+L$7)=12,L$12,L$13)*(1+L$14),1)</f>
        <v/>
      </c>
      <c r="M22" s="48">
        <f>L22*(1+M$10)*(1-M$11)*IF(MOD((8+M$7),12)=0,IF((8+M$7)=12,M$12,M$13)*(1+M$14),1)</f>
        <v/>
      </c>
      <c r="N22" s="48">
        <f>M22*(1+N$10)*(1-N$11)*IF(MOD((8+N$7),12)=0,IF((8+N$7)=12,N$12,N$13)*(1+N$14),1)</f>
        <v/>
      </c>
      <c r="O22" s="48">
        <f>N22*(1+O$10)*(1-O$11)*IF(MOD((8+O$7),12)=0,IF((8+O$7)=12,O$12,O$13)*(1+O$14),1)</f>
        <v/>
      </c>
      <c r="P22" s="48">
        <f>O22*(1+P$10)*(1-P$11)*IF(MOD((8+P$7),12)=0,IF((8+P$7)=12,P$12,P$13)*(1+P$14),1)</f>
        <v/>
      </c>
      <c r="Q22" s="48">
        <f>P22*(1+Q$10)*(1-Q$11)*IF(MOD((8+Q$7),12)=0,IF((8+Q$7)=12,Q$12,Q$13)*(1+Q$14),1)</f>
        <v/>
      </c>
      <c r="R22" s="48">
        <f>Q22*(1+R$10)*(1-R$11)*IF(MOD((8+R$7),12)=0,IF((8+R$7)=12,R$12,R$13)*(1+R$14),1)</f>
        <v/>
      </c>
      <c r="S22" s="48">
        <f>R22*(1+S$10)*(1-S$11)*IF(MOD((8+S$7),12)=0,IF((8+S$7)=12,S$12,S$13)*(1+S$14),1)</f>
        <v/>
      </c>
      <c r="T22" s="48">
        <f>S22*(1+T$10)*(1-T$11)*IF(MOD((8+T$7),12)=0,IF((8+T$7)=12,T$12,T$13)*(1+T$14),1)</f>
        <v/>
      </c>
      <c r="U22" s="48">
        <f>T22*(1+U$10)*(1-U$11)*IF(MOD((8+U$7),12)=0,IF((8+U$7)=12,U$12,U$13)*(1+U$14),1)</f>
        <v/>
      </c>
      <c r="V22" s="48">
        <f>U22*(1+V$10)*(1-V$11)*IF(MOD((8+V$7),12)=0,IF((8+V$7)=12,V$12,V$13)*(1+V$14),1)</f>
        <v/>
      </c>
      <c r="W22" s="48">
        <f>V22*(1+W$10)*(1-W$11)*IF(MOD((8+W$7),12)=0,IF((8+W$7)=12,W$12,W$13)*(1+W$14),1)</f>
        <v/>
      </c>
      <c r="X22" s="48">
        <f>W22*(1+X$10)*(1-X$11)*IF(MOD((8+X$7),12)=0,IF((8+X$7)=12,X$12,X$13)*(1+X$14),1)</f>
        <v/>
      </c>
      <c r="Y22" s="48">
        <f>X22*(1+Y$10)*(1-Y$11)*IF(MOD((8+Y$7),12)=0,IF((8+Y$7)=12,Y$12,Y$13)*(1+Y$14),1)</f>
        <v/>
      </c>
      <c r="Z22" s="48">
        <f>Y22*(1+Z$10)*(1-Z$11)*IF(MOD((8+Z$7),12)=0,IF((8+Z$7)=12,Z$12,Z$13)*(1+Z$14),1)</f>
        <v/>
      </c>
      <c r="AA22" s="48">
        <f>Z22*(1+AA$10)*(1-AA$11)*IF(MOD((8+AA$7),12)=0,IF((8+AA$7)=12,AA$12,AA$13)*(1+AA$14),1)</f>
        <v/>
      </c>
      <c r="AB22" s="48">
        <f>AA22*(1+AB$10)*(1-AB$11)*IF(MOD((8+AB$7),12)=0,IF((8+AB$7)=12,AB$12,AB$13)*(1+AB$14),1)</f>
        <v/>
      </c>
      <c r="AC22" s="48">
        <f>AB22*(1+AC$10)*(1-AC$11)*IF(MOD((8+AC$7),12)=0,IF((8+AC$7)=12,AC$12,AC$13)*(1+AC$14),1)</f>
        <v/>
      </c>
      <c r="AD22" s="48">
        <f>AC22*(1+AD$10)*(1-AD$11)*IF(MOD((8+AD$7),12)=0,IF((8+AD$7)=12,AD$12,AD$13)*(1+AD$14),1)</f>
        <v/>
      </c>
      <c r="AE22" s="48">
        <f>AD22*(1+AE$10)*(1-AE$11)*IF(MOD((8+AE$7),12)=0,IF((8+AE$7)=12,AE$12,AE$13)*(1+AE$14),1)</f>
        <v/>
      </c>
      <c r="AF22" s="48">
        <f>AE22*(1+AF$10)*(1-AF$11)*IF(MOD((8+AF$7),12)=0,IF((8+AF$7)=12,AF$12,AF$13)*(1+AF$14),1)</f>
        <v/>
      </c>
      <c r="AG22" s="48">
        <f>AF22*(1+AG$10)*(1-AG$11)*IF(MOD((8+AG$7),12)=0,IF((8+AG$7)=12,AG$12,AG$13)*(1+AG$14),1)</f>
        <v/>
      </c>
      <c r="AH22" s="48">
        <f>AG22*(1+AH$10)*(1-AH$11)*IF(MOD((8+AH$7),12)=0,IF((8+AH$7)=12,AH$12,AH$13)*(1+AH$14),1)</f>
        <v/>
      </c>
      <c r="AI22" s="48">
        <f>AH22*(1+AI$10)*(1-AI$11)*IF(MOD((8+AI$7),12)=0,IF((8+AI$7)=12,AI$12,AI$13)*(1+AI$14),1)</f>
        <v/>
      </c>
      <c r="AJ22" s="48">
        <f>AI22*(1+AJ$10)*(1-AJ$11)*IF(MOD((8+AJ$7),12)=0,IF((8+AJ$7)=12,AJ$12,AJ$13)*(1+AJ$14),1)</f>
        <v/>
      </c>
      <c r="AK22" s="48">
        <f>AJ22*(1+AK$10)*(1-AK$11)*IF(MOD((8+AK$7),12)=0,IF((8+AK$7)=12,AK$12,AK$13)*(1+AK$14),1)</f>
        <v/>
      </c>
      <c r="AL22" s="48">
        <f>AK22*(1+AL$10)*(1-AL$11)*IF(MOD((8+AL$7),12)=0,IF((8+AL$7)=12,AL$12,AL$13)*(1+AL$14),1)</f>
        <v/>
      </c>
      <c r="AM22" s="48">
        <f>AL22*(1+AM$10)*(1-AM$11)*IF(MOD((8+AM$7),12)=0,IF((8+AM$7)=12,AM$12,AM$13)*(1+AM$14),1)</f>
        <v/>
      </c>
      <c r="AN22" s="48">
        <f>AM22*(1+AN$10)*(1-AN$11)*IF(MOD((8+AN$7),12)=0,IF((8+AN$7)=12,AN$12,AN$13)*(1+AN$14),1)</f>
        <v/>
      </c>
      <c r="AO22" s="48">
        <f>AN22*(1+AO$10)*(1-AO$11)*IF(MOD((8+AO$7),12)=0,IF((8+AO$7)=12,AO$12,AO$13)*(1+AO$14),1)</f>
        <v/>
      </c>
      <c r="AP22" s="48">
        <f>AO22*(1+AP$10)*(1-AP$11)*IF(MOD((8+AP$7),12)=0,IF((8+AP$7)=12,AP$12,AP$13)*(1+AP$14),1)</f>
        <v/>
      </c>
      <c r="AQ22" s="48">
        <f>AP22*(1+AQ$10)*(1-AQ$11)*IF(MOD((8+AQ$7),12)=0,IF((8+AQ$7)=12,AQ$12,AQ$13)*(1+AQ$14),1)</f>
        <v/>
      </c>
      <c r="AR22" s="48">
        <f>AQ22*(1+AR$10)*(1-AR$11)*IF(MOD((8+AR$7),12)=0,IF((8+AR$7)=12,AR$12,AR$13)*(1+AR$14),1)</f>
        <v/>
      </c>
      <c r="AS22" s="48">
        <f>AR22*(1+AS$10)*(1-AS$11)*IF(MOD((8+AS$7),12)=0,IF((8+AS$7)=12,AS$12,AS$13)*(1+AS$14),1)</f>
        <v/>
      </c>
      <c r="AT22" s="48">
        <f>AS22*(1+AT$10)*(1-AT$11)*IF(MOD((8+AT$7),12)=0,IF((8+AT$7)=12,AT$12,AT$13)*(1+AT$14),1)</f>
        <v/>
      </c>
      <c r="AU22" s="48">
        <f>AT22*(1+AU$10)*(1-AU$11)*IF(MOD((8+AU$7),12)=0,IF((8+AU$7)=12,AU$12,AU$13)*(1+AU$14),1)</f>
        <v/>
      </c>
      <c r="AV22" s="48">
        <f>AU22*(1+AV$10)*(1-AV$11)*IF(MOD((8+AV$7),12)=0,IF((8+AV$7)=12,AV$12,AV$13)*(1+AV$14),1)</f>
        <v/>
      </c>
      <c r="AW22" s="48">
        <f>AV22*(1+AW$10)*(1-AW$11)*IF(MOD((8+AW$7),12)=0,IF((8+AW$7)=12,AW$12,AW$13)*(1+AW$14),1)</f>
        <v/>
      </c>
      <c r="AX22" s="48">
        <f>AW22*(1+AX$10)*(1-AX$11)*IF(MOD((8+AX$7),12)=0,IF((8+AX$7)=12,AX$12,AX$13)*(1+AX$14),1)</f>
        <v/>
      </c>
      <c r="AY22" s="48">
        <f>AX22*(1+AY$10)*(1-AY$11)*IF(MOD((8+AY$7),12)=0,IF((8+AY$7)=12,AY$12,AY$13)*(1+AY$14),1)</f>
        <v/>
      </c>
      <c r="AZ22" s="48">
        <f>AY22*(1+AZ$10)*(1-AZ$11)*IF(MOD((8+AZ$7),12)=0,IF((8+AZ$7)=12,AZ$12,AZ$13)*(1+AZ$14),1)</f>
        <v/>
      </c>
      <c r="BA22" s="48">
        <f>AZ22*(1+BA$10)*(1-BA$11)*IF(MOD((8+BA$7),12)=0,IF((8+BA$7)=12,BA$12,BA$13)*(1+BA$14),1)</f>
        <v/>
      </c>
      <c r="BB22" s="48">
        <f>BA22*(1+BB$10)*(1-BB$11)*IF(MOD((8+BB$7),12)=0,IF((8+BB$7)=12,BB$12,BB$13)*(1+BB$14),1)</f>
        <v/>
      </c>
      <c r="BC22" s="48">
        <f>BB22*(1+BC$10)*(1-BC$11)*IF(MOD((8+BC$7),12)=0,IF((8+BC$7)=12,BC$12,BC$13)*(1+BC$14),1)</f>
        <v/>
      </c>
      <c r="BD22" s="48">
        <f>BC22*(1+BD$10)*(1-BD$11)*IF(MOD((8+BD$7),12)=0,IF((8+BD$7)=12,BD$12,BD$13)*(1+BD$14),1)</f>
        <v/>
      </c>
      <c r="BE22" s="48">
        <f>BD22*(1+BE$10)*(1-BE$11)*IF(MOD((8+BE$7),12)=0,IF((8+BE$7)=12,BE$12,BE$13)*(1+BE$14),1)</f>
        <v/>
      </c>
      <c r="BF22" s="48">
        <f>BE22*(1+BF$10)*(1-BF$11)*IF(MOD((8+BF$7),12)=0,IF((8+BF$7)=12,BF$12,BF$13)*(1+BF$14),1)</f>
        <v/>
      </c>
      <c r="BG22" s="48">
        <f>BF22*(1+BG$10)*(1-BG$11)*IF(MOD((8+BG$7),12)=0,IF((8+BG$7)=12,BG$12,BG$13)*(1+BG$14),1)</f>
        <v/>
      </c>
      <c r="BH22" s="48">
        <f>BG22*(1+BH$10)*(1-BH$11)*IF(MOD((8+BH$7),12)=0,IF((8+BH$7)=12,BH$12,BH$13)*(1+BH$14),1)</f>
        <v/>
      </c>
      <c r="BI22" s="48">
        <f>BH22*(1+BI$10)*(1-BI$11)*IF(MOD((8+BI$7),12)=0,IF((8+BI$7)=12,BI$12,BI$13)*(1+BI$14),1)</f>
        <v/>
      </c>
      <c r="BJ22" s="48">
        <f>BI22*(1+BJ$10)*(1-BJ$11)*IF(MOD((8+BJ$7),12)=0,IF((8+BJ$7)=12,BJ$12,BJ$13)*(1+BJ$14),1)</f>
        <v/>
      </c>
      <c r="BK22" s="48">
        <f>BJ22*(1+BK$10)*(1-BK$11)*IF(MOD((8+BK$7),12)=0,IF((8+BK$7)=12,BK$12,BK$13)*(1+BK$14),1)</f>
        <v/>
      </c>
    </row>
    <row r="23" hidden="1" outlineLevel="1">
      <c r="B23" s="18" t="inlineStr">
        <is>
          <t xml:space="preserve">    Opening slice, age 7 months at start</t>
        </is>
      </c>
      <c r="C23" s="19" t="inlineStr">
        <is>
          <t>$</t>
        </is>
      </c>
      <c r="D23" s="48">
        <f>Inputs!$D$15/12*(1+D$10)*(1-D$11)*IF(MOD((7+D$7),12)=0,IF((7+D$7)=12,D$12,D$13)*(1+D$14),1)</f>
        <v/>
      </c>
      <c r="E23" s="48">
        <f>D23*(1+E$10)*(1-E$11)*IF(MOD((7+E$7),12)=0,IF((7+E$7)=12,E$12,E$13)*(1+E$14),1)</f>
        <v/>
      </c>
      <c r="F23" s="48">
        <f>E23*(1+F$10)*(1-F$11)*IF(MOD((7+F$7),12)=0,IF((7+F$7)=12,F$12,F$13)*(1+F$14),1)</f>
        <v/>
      </c>
      <c r="G23" s="48">
        <f>F23*(1+G$10)*(1-G$11)*IF(MOD((7+G$7),12)=0,IF((7+G$7)=12,G$12,G$13)*(1+G$14),1)</f>
        <v/>
      </c>
      <c r="H23" s="48">
        <f>G23*(1+H$10)*(1-H$11)*IF(MOD((7+H$7),12)=0,IF((7+H$7)=12,H$12,H$13)*(1+H$14),1)</f>
        <v/>
      </c>
      <c r="I23" s="48">
        <f>H23*(1+I$10)*(1-I$11)*IF(MOD((7+I$7),12)=0,IF((7+I$7)=12,I$12,I$13)*(1+I$14),1)</f>
        <v/>
      </c>
      <c r="J23" s="48">
        <f>I23*(1+J$10)*(1-J$11)*IF(MOD((7+J$7),12)=0,IF((7+J$7)=12,J$12,J$13)*(1+J$14),1)</f>
        <v/>
      </c>
      <c r="K23" s="48">
        <f>J23*(1+K$10)*(1-K$11)*IF(MOD((7+K$7),12)=0,IF((7+K$7)=12,K$12,K$13)*(1+K$14),1)</f>
        <v/>
      </c>
      <c r="L23" s="48">
        <f>K23*(1+L$10)*(1-L$11)*IF(MOD((7+L$7),12)=0,IF((7+L$7)=12,L$12,L$13)*(1+L$14),1)</f>
        <v/>
      </c>
      <c r="M23" s="48">
        <f>L23*(1+M$10)*(1-M$11)*IF(MOD((7+M$7),12)=0,IF((7+M$7)=12,M$12,M$13)*(1+M$14),1)</f>
        <v/>
      </c>
      <c r="N23" s="48">
        <f>M23*(1+N$10)*(1-N$11)*IF(MOD((7+N$7),12)=0,IF((7+N$7)=12,N$12,N$13)*(1+N$14),1)</f>
        <v/>
      </c>
      <c r="O23" s="48">
        <f>N23*(1+O$10)*(1-O$11)*IF(MOD((7+O$7),12)=0,IF((7+O$7)=12,O$12,O$13)*(1+O$14),1)</f>
        <v/>
      </c>
      <c r="P23" s="48">
        <f>O23*(1+P$10)*(1-P$11)*IF(MOD((7+P$7),12)=0,IF((7+P$7)=12,P$12,P$13)*(1+P$14),1)</f>
        <v/>
      </c>
      <c r="Q23" s="48">
        <f>P23*(1+Q$10)*(1-Q$11)*IF(MOD((7+Q$7),12)=0,IF((7+Q$7)=12,Q$12,Q$13)*(1+Q$14),1)</f>
        <v/>
      </c>
      <c r="R23" s="48">
        <f>Q23*(1+R$10)*(1-R$11)*IF(MOD((7+R$7),12)=0,IF((7+R$7)=12,R$12,R$13)*(1+R$14),1)</f>
        <v/>
      </c>
      <c r="S23" s="48">
        <f>R23*(1+S$10)*(1-S$11)*IF(MOD((7+S$7),12)=0,IF((7+S$7)=12,S$12,S$13)*(1+S$14),1)</f>
        <v/>
      </c>
      <c r="T23" s="48">
        <f>S23*(1+T$10)*(1-T$11)*IF(MOD((7+T$7),12)=0,IF((7+T$7)=12,T$12,T$13)*(1+T$14),1)</f>
        <v/>
      </c>
      <c r="U23" s="48">
        <f>T23*(1+U$10)*(1-U$11)*IF(MOD((7+U$7),12)=0,IF((7+U$7)=12,U$12,U$13)*(1+U$14),1)</f>
        <v/>
      </c>
      <c r="V23" s="48">
        <f>U23*(1+V$10)*(1-V$11)*IF(MOD((7+V$7),12)=0,IF((7+V$7)=12,V$12,V$13)*(1+V$14),1)</f>
        <v/>
      </c>
      <c r="W23" s="48">
        <f>V23*(1+W$10)*(1-W$11)*IF(MOD((7+W$7),12)=0,IF((7+W$7)=12,W$12,W$13)*(1+W$14),1)</f>
        <v/>
      </c>
      <c r="X23" s="48">
        <f>W23*(1+X$10)*(1-X$11)*IF(MOD((7+X$7),12)=0,IF((7+X$7)=12,X$12,X$13)*(1+X$14),1)</f>
        <v/>
      </c>
      <c r="Y23" s="48">
        <f>X23*(1+Y$10)*(1-Y$11)*IF(MOD((7+Y$7),12)=0,IF((7+Y$7)=12,Y$12,Y$13)*(1+Y$14),1)</f>
        <v/>
      </c>
      <c r="Z23" s="48">
        <f>Y23*(1+Z$10)*(1-Z$11)*IF(MOD((7+Z$7),12)=0,IF((7+Z$7)=12,Z$12,Z$13)*(1+Z$14),1)</f>
        <v/>
      </c>
      <c r="AA23" s="48">
        <f>Z23*(1+AA$10)*(1-AA$11)*IF(MOD((7+AA$7),12)=0,IF((7+AA$7)=12,AA$12,AA$13)*(1+AA$14),1)</f>
        <v/>
      </c>
      <c r="AB23" s="48">
        <f>AA23*(1+AB$10)*(1-AB$11)*IF(MOD((7+AB$7),12)=0,IF((7+AB$7)=12,AB$12,AB$13)*(1+AB$14),1)</f>
        <v/>
      </c>
      <c r="AC23" s="48">
        <f>AB23*(1+AC$10)*(1-AC$11)*IF(MOD((7+AC$7),12)=0,IF((7+AC$7)=12,AC$12,AC$13)*(1+AC$14),1)</f>
        <v/>
      </c>
      <c r="AD23" s="48">
        <f>AC23*(1+AD$10)*(1-AD$11)*IF(MOD((7+AD$7),12)=0,IF((7+AD$7)=12,AD$12,AD$13)*(1+AD$14),1)</f>
        <v/>
      </c>
      <c r="AE23" s="48">
        <f>AD23*(1+AE$10)*(1-AE$11)*IF(MOD((7+AE$7),12)=0,IF((7+AE$7)=12,AE$12,AE$13)*(1+AE$14),1)</f>
        <v/>
      </c>
      <c r="AF23" s="48">
        <f>AE23*(1+AF$10)*(1-AF$11)*IF(MOD((7+AF$7),12)=0,IF((7+AF$7)=12,AF$12,AF$13)*(1+AF$14),1)</f>
        <v/>
      </c>
      <c r="AG23" s="48">
        <f>AF23*(1+AG$10)*(1-AG$11)*IF(MOD((7+AG$7),12)=0,IF((7+AG$7)=12,AG$12,AG$13)*(1+AG$14),1)</f>
        <v/>
      </c>
      <c r="AH23" s="48">
        <f>AG23*(1+AH$10)*(1-AH$11)*IF(MOD((7+AH$7),12)=0,IF((7+AH$7)=12,AH$12,AH$13)*(1+AH$14),1)</f>
        <v/>
      </c>
      <c r="AI23" s="48">
        <f>AH23*(1+AI$10)*(1-AI$11)*IF(MOD((7+AI$7),12)=0,IF((7+AI$7)=12,AI$12,AI$13)*(1+AI$14),1)</f>
        <v/>
      </c>
      <c r="AJ23" s="48">
        <f>AI23*(1+AJ$10)*(1-AJ$11)*IF(MOD((7+AJ$7),12)=0,IF((7+AJ$7)=12,AJ$12,AJ$13)*(1+AJ$14),1)</f>
        <v/>
      </c>
      <c r="AK23" s="48">
        <f>AJ23*(1+AK$10)*(1-AK$11)*IF(MOD((7+AK$7),12)=0,IF((7+AK$7)=12,AK$12,AK$13)*(1+AK$14),1)</f>
        <v/>
      </c>
      <c r="AL23" s="48">
        <f>AK23*(1+AL$10)*(1-AL$11)*IF(MOD((7+AL$7),12)=0,IF((7+AL$7)=12,AL$12,AL$13)*(1+AL$14),1)</f>
        <v/>
      </c>
      <c r="AM23" s="48">
        <f>AL23*(1+AM$10)*(1-AM$11)*IF(MOD((7+AM$7),12)=0,IF((7+AM$7)=12,AM$12,AM$13)*(1+AM$14),1)</f>
        <v/>
      </c>
      <c r="AN23" s="48">
        <f>AM23*(1+AN$10)*(1-AN$11)*IF(MOD((7+AN$7),12)=0,IF((7+AN$7)=12,AN$12,AN$13)*(1+AN$14),1)</f>
        <v/>
      </c>
      <c r="AO23" s="48">
        <f>AN23*(1+AO$10)*(1-AO$11)*IF(MOD((7+AO$7),12)=0,IF((7+AO$7)=12,AO$12,AO$13)*(1+AO$14),1)</f>
        <v/>
      </c>
      <c r="AP23" s="48">
        <f>AO23*(1+AP$10)*(1-AP$11)*IF(MOD((7+AP$7),12)=0,IF((7+AP$7)=12,AP$12,AP$13)*(1+AP$14),1)</f>
        <v/>
      </c>
      <c r="AQ23" s="48">
        <f>AP23*(1+AQ$10)*(1-AQ$11)*IF(MOD((7+AQ$7),12)=0,IF((7+AQ$7)=12,AQ$12,AQ$13)*(1+AQ$14),1)</f>
        <v/>
      </c>
      <c r="AR23" s="48">
        <f>AQ23*(1+AR$10)*(1-AR$11)*IF(MOD((7+AR$7),12)=0,IF((7+AR$7)=12,AR$12,AR$13)*(1+AR$14),1)</f>
        <v/>
      </c>
      <c r="AS23" s="48">
        <f>AR23*(1+AS$10)*(1-AS$11)*IF(MOD((7+AS$7),12)=0,IF((7+AS$7)=12,AS$12,AS$13)*(1+AS$14),1)</f>
        <v/>
      </c>
      <c r="AT23" s="48">
        <f>AS23*(1+AT$10)*(1-AT$11)*IF(MOD((7+AT$7),12)=0,IF((7+AT$7)=12,AT$12,AT$13)*(1+AT$14),1)</f>
        <v/>
      </c>
      <c r="AU23" s="48">
        <f>AT23*(1+AU$10)*(1-AU$11)*IF(MOD((7+AU$7),12)=0,IF((7+AU$7)=12,AU$12,AU$13)*(1+AU$14),1)</f>
        <v/>
      </c>
      <c r="AV23" s="48">
        <f>AU23*(1+AV$10)*(1-AV$11)*IF(MOD((7+AV$7),12)=0,IF((7+AV$7)=12,AV$12,AV$13)*(1+AV$14),1)</f>
        <v/>
      </c>
      <c r="AW23" s="48">
        <f>AV23*(1+AW$10)*(1-AW$11)*IF(MOD((7+AW$7),12)=0,IF((7+AW$7)=12,AW$12,AW$13)*(1+AW$14),1)</f>
        <v/>
      </c>
      <c r="AX23" s="48">
        <f>AW23*(1+AX$10)*(1-AX$11)*IF(MOD((7+AX$7),12)=0,IF((7+AX$7)=12,AX$12,AX$13)*(1+AX$14),1)</f>
        <v/>
      </c>
      <c r="AY23" s="48">
        <f>AX23*(1+AY$10)*(1-AY$11)*IF(MOD((7+AY$7),12)=0,IF((7+AY$7)=12,AY$12,AY$13)*(1+AY$14),1)</f>
        <v/>
      </c>
      <c r="AZ23" s="48">
        <f>AY23*(1+AZ$10)*(1-AZ$11)*IF(MOD((7+AZ$7),12)=0,IF((7+AZ$7)=12,AZ$12,AZ$13)*(1+AZ$14),1)</f>
        <v/>
      </c>
      <c r="BA23" s="48">
        <f>AZ23*(1+BA$10)*(1-BA$11)*IF(MOD((7+BA$7),12)=0,IF((7+BA$7)=12,BA$12,BA$13)*(1+BA$14),1)</f>
        <v/>
      </c>
      <c r="BB23" s="48">
        <f>BA23*(1+BB$10)*(1-BB$11)*IF(MOD((7+BB$7),12)=0,IF((7+BB$7)=12,BB$12,BB$13)*(1+BB$14),1)</f>
        <v/>
      </c>
      <c r="BC23" s="48">
        <f>BB23*(1+BC$10)*(1-BC$11)*IF(MOD((7+BC$7),12)=0,IF((7+BC$7)=12,BC$12,BC$13)*(1+BC$14),1)</f>
        <v/>
      </c>
      <c r="BD23" s="48">
        <f>BC23*(1+BD$10)*(1-BD$11)*IF(MOD((7+BD$7),12)=0,IF((7+BD$7)=12,BD$12,BD$13)*(1+BD$14),1)</f>
        <v/>
      </c>
      <c r="BE23" s="48">
        <f>BD23*(1+BE$10)*(1-BE$11)*IF(MOD((7+BE$7),12)=0,IF((7+BE$7)=12,BE$12,BE$13)*(1+BE$14),1)</f>
        <v/>
      </c>
      <c r="BF23" s="48">
        <f>BE23*(1+BF$10)*(1-BF$11)*IF(MOD((7+BF$7),12)=0,IF((7+BF$7)=12,BF$12,BF$13)*(1+BF$14),1)</f>
        <v/>
      </c>
      <c r="BG23" s="48">
        <f>BF23*(1+BG$10)*(1-BG$11)*IF(MOD((7+BG$7),12)=0,IF((7+BG$7)=12,BG$12,BG$13)*(1+BG$14),1)</f>
        <v/>
      </c>
      <c r="BH23" s="48">
        <f>BG23*(1+BH$10)*(1-BH$11)*IF(MOD((7+BH$7),12)=0,IF((7+BH$7)=12,BH$12,BH$13)*(1+BH$14),1)</f>
        <v/>
      </c>
      <c r="BI23" s="48">
        <f>BH23*(1+BI$10)*(1-BI$11)*IF(MOD((7+BI$7),12)=0,IF((7+BI$7)=12,BI$12,BI$13)*(1+BI$14),1)</f>
        <v/>
      </c>
      <c r="BJ23" s="48">
        <f>BI23*(1+BJ$10)*(1-BJ$11)*IF(MOD((7+BJ$7),12)=0,IF((7+BJ$7)=12,BJ$12,BJ$13)*(1+BJ$14),1)</f>
        <v/>
      </c>
      <c r="BK23" s="48">
        <f>BJ23*(1+BK$10)*(1-BK$11)*IF(MOD((7+BK$7),12)=0,IF((7+BK$7)=12,BK$12,BK$13)*(1+BK$14),1)</f>
        <v/>
      </c>
    </row>
    <row r="24" hidden="1" outlineLevel="1">
      <c r="B24" s="18" t="inlineStr">
        <is>
          <t xml:space="preserve">    Opening slice, age 6 months at start</t>
        </is>
      </c>
      <c r="C24" s="19" t="inlineStr">
        <is>
          <t>$</t>
        </is>
      </c>
      <c r="D24" s="48">
        <f>Inputs!$D$15/12*(1+D$10)*(1-D$11)*IF(MOD((6+D$7),12)=0,IF((6+D$7)=12,D$12,D$13)*(1+D$14),1)</f>
        <v/>
      </c>
      <c r="E24" s="48">
        <f>D24*(1+E$10)*(1-E$11)*IF(MOD((6+E$7),12)=0,IF((6+E$7)=12,E$12,E$13)*(1+E$14),1)</f>
        <v/>
      </c>
      <c r="F24" s="48">
        <f>E24*(1+F$10)*(1-F$11)*IF(MOD((6+F$7),12)=0,IF((6+F$7)=12,F$12,F$13)*(1+F$14),1)</f>
        <v/>
      </c>
      <c r="G24" s="48">
        <f>F24*(1+G$10)*(1-G$11)*IF(MOD((6+G$7),12)=0,IF((6+G$7)=12,G$12,G$13)*(1+G$14),1)</f>
        <v/>
      </c>
      <c r="H24" s="48">
        <f>G24*(1+H$10)*(1-H$11)*IF(MOD((6+H$7),12)=0,IF((6+H$7)=12,H$12,H$13)*(1+H$14),1)</f>
        <v/>
      </c>
      <c r="I24" s="48">
        <f>H24*(1+I$10)*(1-I$11)*IF(MOD((6+I$7),12)=0,IF((6+I$7)=12,I$12,I$13)*(1+I$14),1)</f>
        <v/>
      </c>
      <c r="J24" s="48">
        <f>I24*(1+J$10)*(1-J$11)*IF(MOD((6+J$7),12)=0,IF((6+J$7)=12,J$12,J$13)*(1+J$14),1)</f>
        <v/>
      </c>
      <c r="K24" s="48">
        <f>J24*(1+K$10)*(1-K$11)*IF(MOD((6+K$7),12)=0,IF((6+K$7)=12,K$12,K$13)*(1+K$14),1)</f>
        <v/>
      </c>
      <c r="L24" s="48">
        <f>K24*(1+L$10)*(1-L$11)*IF(MOD((6+L$7),12)=0,IF((6+L$7)=12,L$12,L$13)*(1+L$14),1)</f>
        <v/>
      </c>
      <c r="M24" s="48">
        <f>L24*(1+M$10)*(1-M$11)*IF(MOD((6+M$7),12)=0,IF((6+M$7)=12,M$12,M$13)*(1+M$14),1)</f>
        <v/>
      </c>
      <c r="N24" s="48">
        <f>M24*(1+N$10)*(1-N$11)*IF(MOD((6+N$7),12)=0,IF((6+N$7)=12,N$12,N$13)*(1+N$14),1)</f>
        <v/>
      </c>
      <c r="O24" s="48">
        <f>N24*(1+O$10)*(1-O$11)*IF(MOD((6+O$7),12)=0,IF((6+O$7)=12,O$12,O$13)*(1+O$14),1)</f>
        <v/>
      </c>
      <c r="P24" s="48">
        <f>O24*(1+P$10)*(1-P$11)*IF(MOD((6+P$7),12)=0,IF((6+P$7)=12,P$12,P$13)*(1+P$14),1)</f>
        <v/>
      </c>
      <c r="Q24" s="48">
        <f>P24*(1+Q$10)*(1-Q$11)*IF(MOD((6+Q$7),12)=0,IF((6+Q$7)=12,Q$12,Q$13)*(1+Q$14),1)</f>
        <v/>
      </c>
      <c r="R24" s="48">
        <f>Q24*(1+R$10)*(1-R$11)*IF(MOD((6+R$7),12)=0,IF((6+R$7)=12,R$12,R$13)*(1+R$14),1)</f>
        <v/>
      </c>
      <c r="S24" s="48">
        <f>R24*(1+S$10)*(1-S$11)*IF(MOD((6+S$7),12)=0,IF((6+S$7)=12,S$12,S$13)*(1+S$14),1)</f>
        <v/>
      </c>
      <c r="T24" s="48">
        <f>S24*(1+T$10)*(1-T$11)*IF(MOD((6+T$7),12)=0,IF((6+T$7)=12,T$12,T$13)*(1+T$14),1)</f>
        <v/>
      </c>
      <c r="U24" s="48">
        <f>T24*(1+U$10)*(1-U$11)*IF(MOD((6+U$7),12)=0,IF((6+U$7)=12,U$12,U$13)*(1+U$14),1)</f>
        <v/>
      </c>
      <c r="V24" s="48">
        <f>U24*(1+V$10)*(1-V$11)*IF(MOD((6+V$7),12)=0,IF((6+V$7)=12,V$12,V$13)*(1+V$14),1)</f>
        <v/>
      </c>
      <c r="W24" s="48">
        <f>V24*(1+W$10)*(1-W$11)*IF(MOD((6+W$7),12)=0,IF((6+W$7)=12,W$12,W$13)*(1+W$14),1)</f>
        <v/>
      </c>
      <c r="X24" s="48">
        <f>W24*(1+X$10)*(1-X$11)*IF(MOD((6+X$7),12)=0,IF((6+X$7)=12,X$12,X$13)*(1+X$14),1)</f>
        <v/>
      </c>
      <c r="Y24" s="48">
        <f>X24*(1+Y$10)*(1-Y$11)*IF(MOD((6+Y$7),12)=0,IF((6+Y$7)=12,Y$12,Y$13)*(1+Y$14),1)</f>
        <v/>
      </c>
      <c r="Z24" s="48">
        <f>Y24*(1+Z$10)*(1-Z$11)*IF(MOD((6+Z$7),12)=0,IF((6+Z$7)=12,Z$12,Z$13)*(1+Z$14),1)</f>
        <v/>
      </c>
      <c r="AA24" s="48">
        <f>Z24*(1+AA$10)*(1-AA$11)*IF(MOD((6+AA$7),12)=0,IF((6+AA$7)=12,AA$12,AA$13)*(1+AA$14),1)</f>
        <v/>
      </c>
      <c r="AB24" s="48">
        <f>AA24*(1+AB$10)*(1-AB$11)*IF(MOD((6+AB$7),12)=0,IF((6+AB$7)=12,AB$12,AB$13)*(1+AB$14),1)</f>
        <v/>
      </c>
      <c r="AC24" s="48">
        <f>AB24*(1+AC$10)*(1-AC$11)*IF(MOD((6+AC$7),12)=0,IF((6+AC$7)=12,AC$12,AC$13)*(1+AC$14),1)</f>
        <v/>
      </c>
      <c r="AD24" s="48">
        <f>AC24*(1+AD$10)*(1-AD$11)*IF(MOD((6+AD$7),12)=0,IF((6+AD$7)=12,AD$12,AD$13)*(1+AD$14),1)</f>
        <v/>
      </c>
      <c r="AE24" s="48">
        <f>AD24*(1+AE$10)*(1-AE$11)*IF(MOD((6+AE$7),12)=0,IF((6+AE$7)=12,AE$12,AE$13)*(1+AE$14),1)</f>
        <v/>
      </c>
      <c r="AF24" s="48">
        <f>AE24*(1+AF$10)*(1-AF$11)*IF(MOD((6+AF$7),12)=0,IF((6+AF$7)=12,AF$12,AF$13)*(1+AF$14),1)</f>
        <v/>
      </c>
      <c r="AG24" s="48">
        <f>AF24*(1+AG$10)*(1-AG$11)*IF(MOD((6+AG$7),12)=0,IF((6+AG$7)=12,AG$12,AG$13)*(1+AG$14),1)</f>
        <v/>
      </c>
      <c r="AH24" s="48">
        <f>AG24*(1+AH$10)*(1-AH$11)*IF(MOD((6+AH$7),12)=0,IF((6+AH$7)=12,AH$12,AH$13)*(1+AH$14),1)</f>
        <v/>
      </c>
      <c r="AI24" s="48">
        <f>AH24*(1+AI$10)*(1-AI$11)*IF(MOD((6+AI$7),12)=0,IF((6+AI$7)=12,AI$12,AI$13)*(1+AI$14),1)</f>
        <v/>
      </c>
      <c r="AJ24" s="48">
        <f>AI24*(1+AJ$10)*(1-AJ$11)*IF(MOD((6+AJ$7),12)=0,IF((6+AJ$7)=12,AJ$12,AJ$13)*(1+AJ$14),1)</f>
        <v/>
      </c>
      <c r="AK24" s="48">
        <f>AJ24*(1+AK$10)*(1-AK$11)*IF(MOD((6+AK$7),12)=0,IF((6+AK$7)=12,AK$12,AK$13)*(1+AK$14),1)</f>
        <v/>
      </c>
      <c r="AL24" s="48">
        <f>AK24*(1+AL$10)*(1-AL$11)*IF(MOD((6+AL$7),12)=0,IF((6+AL$7)=12,AL$12,AL$13)*(1+AL$14),1)</f>
        <v/>
      </c>
      <c r="AM24" s="48">
        <f>AL24*(1+AM$10)*(1-AM$11)*IF(MOD((6+AM$7),12)=0,IF((6+AM$7)=12,AM$12,AM$13)*(1+AM$14),1)</f>
        <v/>
      </c>
      <c r="AN24" s="48">
        <f>AM24*(1+AN$10)*(1-AN$11)*IF(MOD((6+AN$7),12)=0,IF((6+AN$7)=12,AN$12,AN$13)*(1+AN$14),1)</f>
        <v/>
      </c>
      <c r="AO24" s="48">
        <f>AN24*(1+AO$10)*(1-AO$11)*IF(MOD((6+AO$7),12)=0,IF((6+AO$7)=12,AO$12,AO$13)*(1+AO$14),1)</f>
        <v/>
      </c>
      <c r="AP24" s="48">
        <f>AO24*(1+AP$10)*(1-AP$11)*IF(MOD((6+AP$7),12)=0,IF((6+AP$7)=12,AP$12,AP$13)*(1+AP$14),1)</f>
        <v/>
      </c>
      <c r="AQ24" s="48">
        <f>AP24*(1+AQ$10)*(1-AQ$11)*IF(MOD((6+AQ$7),12)=0,IF((6+AQ$7)=12,AQ$12,AQ$13)*(1+AQ$14),1)</f>
        <v/>
      </c>
      <c r="AR24" s="48">
        <f>AQ24*(1+AR$10)*(1-AR$11)*IF(MOD((6+AR$7),12)=0,IF((6+AR$7)=12,AR$12,AR$13)*(1+AR$14),1)</f>
        <v/>
      </c>
      <c r="AS24" s="48">
        <f>AR24*(1+AS$10)*(1-AS$11)*IF(MOD((6+AS$7),12)=0,IF((6+AS$7)=12,AS$12,AS$13)*(1+AS$14),1)</f>
        <v/>
      </c>
      <c r="AT24" s="48">
        <f>AS24*(1+AT$10)*(1-AT$11)*IF(MOD((6+AT$7),12)=0,IF((6+AT$7)=12,AT$12,AT$13)*(1+AT$14),1)</f>
        <v/>
      </c>
      <c r="AU24" s="48">
        <f>AT24*(1+AU$10)*(1-AU$11)*IF(MOD((6+AU$7),12)=0,IF((6+AU$7)=12,AU$12,AU$13)*(1+AU$14),1)</f>
        <v/>
      </c>
      <c r="AV24" s="48">
        <f>AU24*(1+AV$10)*(1-AV$11)*IF(MOD((6+AV$7),12)=0,IF((6+AV$7)=12,AV$12,AV$13)*(1+AV$14),1)</f>
        <v/>
      </c>
      <c r="AW24" s="48">
        <f>AV24*(1+AW$10)*(1-AW$11)*IF(MOD((6+AW$7),12)=0,IF((6+AW$7)=12,AW$12,AW$13)*(1+AW$14),1)</f>
        <v/>
      </c>
      <c r="AX24" s="48">
        <f>AW24*(1+AX$10)*(1-AX$11)*IF(MOD((6+AX$7),12)=0,IF((6+AX$7)=12,AX$12,AX$13)*(1+AX$14),1)</f>
        <v/>
      </c>
      <c r="AY24" s="48">
        <f>AX24*(1+AY$10)*(1-AY$11)*IF(MOD((6+AY$7),12)=0,IF((6+AY$7)=12,AY$12,AY$13)*(1+AY$14),1)</f>
        <v/>
      </c>
      <c r="AZ24" s="48">
        <f>AY24*(1+AZ$10)*(1-AZ$11)*IF(MOD((6+AZ$7),12)=0,IF((6+AZ$7)=12,AZ$12,AZ$13)*(1+AZ$14),1)</f>
        <v/>
      </c>
      <c r="BA24" s="48">
        <f>AZ24*(1+BA$10)*(1-BA$11)*IF(MOD((6+BA$7),12)=0,IF((6+BA$7)=12,BA$12,BA$13)*(1+BA$14),1)</f>
        <v/>
      </c>
      <c r="BB24" s="48">
        <f>BA24*(1+BB$10)*(1-BB$11)*IF(MOD((6+BB$7),12)=0,IF((6+BB$7)=12,BB$12,BB$13)*(1+BB$14),1)</f>
        <v/>
      </c>
      <c r="BC24" s="48">
        <f>BB24*(1+BC$10)*(1-BC$11)*IF(MOD((6+BC$7),12)=0,IF((6+BC$7)=12,BC$12,BC$13)*(1+BC$14),1)</f>
        <v/>
      </c>
      <c r="BD24" s="48">
        <f>BC24*(1+BD$10)*(1-BD$11)*IF(MOD((6+BD$7),12)=0,IF((6+BD$7)=12,BD$12,BD$13)*(1+BD$14),1)</f>
        <v/>
      </c>
      <c r="BE24" s="48">
        <f>BD24*(1+BE$10)*(1-BE$11)*IF(MOD((6+BE$7),12)=0,IF((6+BE$7)=12,BE$12,BE$13)*(1+BE$14),1)</f>
        <v/>
      </c>
      <c r="BF24" s="48">
        <f>BE24*(1+BF$10)*(1-BF$11)*IF(MOD((6+BF$7),12)=0,IF((6+BF$7)=12,BF$12,BF$13)*(1+BF$14),1)</f>
        <v/>
      </c>
      <c r="BG24" s="48">
        <f>BF24*(1+BG$10)*(1-BG$11)*IF(MOD((6+BG$7),12)=0,IF((6+BG$7)=12,BG$12,BG$13)*(1+BG$14),1)</f>
        <v/>
      </c>
      <c r="BH24" s="48">
        <f>BG24*(1+BH$10)*(1-BH$11)*IF(MOD((6+BH$7),12)=0,IF((6+BH$7)=12,BH$12,BH$13)*(1+BH$14),1)</f>
        <v/>
      </c>
      <c r="BI24" s="48">
        <f>BH24*(1+BI$10)*(1-BI$11)*IF(MOD((6+BI$7),12)=0,IF((6+BI$7)=12,BI$12,BI$13)*(1+BI$14),1)</f>
        <v/>
      </c>
      <c r="BJ24" s="48">
        <f>BI24*(1+BJ$10)*(1-BJ$11)*IF(MOD((6+BJ$7),12)=0,IF((6+BJ$7)=12,BJ$12,BJ$13)*(1+BJ$14),1)</f>
        <v/>
      </c>
      <c r="BK24" s="48">
        <f>BJ24*(1+BK$10)*(1-BK$11)*IF(MOD((6+BK$7),12)=0,IF((6+BK$7)=12,BK$12,BK$13)*(1+BK$14),1)</f>
        <v/>
      </c>
    </row>
    <row r="25" hidden="1" outlineLevel="1">
      <c r="B25" s="18" t="inlineStr">
        <is>
          <t xml:space="preserve">    Opening slice, age 5 months at start</t>
        </is>
      </c>
      <c r="C25" s="19" t="inlineStr">
        <is>
          <t>$</t>
        </is>
      </c>
      <c r="D25" s="48">
        <f>Inputs!$D$15/12*(1+D$10)*(1-D$11)*IF(MOD((5+D$7),12)=0,IF((5+D$7)=12,D$12,D$13)*(1+D$14),1)</f>
        <v/>
      </c>
      <c r="E25" s="48">
        <f>D25*(1+E$10)*(1-E$11)*IF(MOD((5+E$7),12)=0,IF((5+E$7)=12,E$12,E$13)*(1+E$14),1)</f>
        <v/>
      </c>
      <c r="F25" s="48">
        <f>E25*(1+F$10)*(1-F$11)*IF(MOD((5+F$7),12)=0,IF((5+F$7)=12,F$12,F$13)*(1+F$14),1)</f>
        <v/>
      </c>
      <c r="G25" s="48">
        <f>F25*(1+G$10)*(1-G$11)*IF(MOD((5+G$7),12)=0,IF((5+G$7)=12,G$12,G$13)*(1+G$14),1)</f>
        <v/>
      </c>
      <c r="H25" s="48">
        <f>G25*(1+H$10)*(1-H$11)*IF(MOD((5+H$7),12)=0,IF((5+H$7)=12,H$12,H$13)*(1+H$14),1)</f>
        <v/>
      </c>
      <c r="I25" s="48">
        <f>H25*(1+I$10)*(1-I$11)*IF(MOD((5+I$7),12)=0,IF((5+I$7)=12,I$12,I$13)*(1+I$14),1)</f>
        <v/>
      </c>
      <c r="J25" s="48">
        <f>I25*(1+J$10)*(1-J$11)*IF(MOD((5+J$7),12)=0,IF((5+J$7)=12,J$12,J$13)*(1+J$14),1)</f>
        <v/>
      </c>
      <c r="K25" s="48">
        <f>J25*(1+K$10)*(1-K$11)*IF(MOD((5+K$7),12)=0,IF((5+K$7)=12,K$12,K$13)*(1+K$14),1)</f>
        <v/>
      </c>
      <c r="L25" s="48">
        <f>K25*(1+L$10)*(1-L$11)*IF(MOD((5+L$7),12)=0,IF((5+L$7)=12,L$12,L$13)*(1+L$14),1)</f>
        <v/>
      </c>
      <c r="M25" s="48">
        <f>L25*(1+M$10)*(1-M$11)*IF(MOD((5+M$7),12)=0,IF((5+M$7)=12,M$12,M$13)*(1+M$14),1)</f>
        <v/>
      </c>
      <c r="N25" s="48">
        <f>M25*(1+N$10)*(1-N$11)*IF(MOD((5+N$7),12)=0,IF((5+N$7)=12,N$12,N$13)*(1+N$14),1)</f>
        <v/>
      </c>
      <c r="O25" s="48">
        <f>N25*(1+O$10)*(1-O$11)*IF(MOD((5+O$7),12)=0,IF((5+O$7)=12,O$12,O$13)*(1+O$14),1)</f>
        <v/>
      </c>
      <c r="P25" s="48">
        <f>O25*(1+P$10)*(1-P$11)*IF(MOD((5+P$7),12)=0,IF((5+P$7)=12,P$12,P$13)*(1+P$14),1)</f>
        <v/>
      </c>
      <c r="Q25" s="48">
        <f>P25*(1+Q$10)*(1-Q$11)*IF(MOD((5+Q$7),12)=0,IF((5+Q$7)=12,Q$12,Q$13)*(1+Q$14),1)</f>
        <v/>
      </c>
      <c r="R25" s="48">
        <f>Q25*(1+R$10)*(1-R$11)*IF(MOD((5+R$7),12)=0,IF((5+R$7)=12,R$12,R$13)*(1+R$14),1)</f>
        <v/>
      </c>
      <c r="S25" s="48">
        <f>R25*(1+S$10)*(1-S$11)*IF(MOD((5+S$7),12)=0,IF((5+S$7)=12,S$12,S$13)*(1+S$14),1)</f>
        <v/>
      </c>
      <c r="T25" s="48">
        <f>S25*(1+T$10)*(1-T$11)*IF(MOD((5+T$7),12)=0,IF((5+T$7)=12,T$12,T$13)*(1+T$14),1)</f>
        <v/>
      </c>
      <c r="U25" s="48">
        <f>T25*(1+U$10)*(1-U$11)*IF(MOD((5+U$7),12)=0,IF((5+U$7)=12,U$12,U$13)*(1+U$14),1)</f>
        <v/>
      </c>
      <c r="V25" s="48">
        <f>U25*(1+V$10)*(1-V$11)*IF(MOD((5+V$7),12)=0,IF((5+V$7)=12,V$12,V$13)*(1+V$14),1)</f>
        <v/>
      </c>
      <c r="W25" s="48">
        <f>V25*(1+W$10)*(1-W$11)*IF(MOD((5+W$7),12)=0,IF((5+W$7)=12,W$12,W$13)*(1+W$14),1)</f>
        <v/>
      </c>
      <c r="X25" s="48">
        <f>W25*(1+X$10)*(1-X$11)*IF(MOD((5+X$7),12)=0,IF((5+X$7)=12,X$12,X$13)*(1+X$14),1)</f>
        <v/>
      </c>
      <c r="Y25" s="48">
        <f>X25*(1+Y$10)*(1-Y$11)*IF(MOD((5+Y$7),12)=0,IF((5+Y$7)=12,Y$12,Y$13)*(1+Y$14),1)</f>
        <v/>
      </c>
      <c r="Z25" s="48">
        <f>Y25*(1+Z$10)*(1-Z$11)*IF(MOD((5+Z$7),12)=0,IF((5+Z$7)=12,Z$12,Z$13)*(1+Z$14),1)</f>
        <v/>
      </c>
      <c r="AA25" s="48">
        <f>Z25*(1+AA$10)*(1-AA$11)*IF(MOD((5+AA$7),12)=0,IF((5+AA$7)=12,AA$12,AA$13)*(1+AA$14),1)</f>
        <v/>
      </c>
      <c r="AB25" s="48">
        <f>AA25*(1+AB$10)*(1-AB$11)*IF(MOD((5+AB$7),12)=0,IF((5+AB$7)=12,AB$12,AB$13)*(1+AB$14),1)</f>
        <v/>
      </c>
      <c r="AC25" s="48">
        <f>AB25*(1+AC$10)*(1-AC$11)*IF(MOD((5+AC$7),12)=0,IF((5+AC$7)=12,AC$12,AC$13)*(1+AC$14),1)</f>
        <v/>
      </c>
      <c r="AD25" s="48">
        <f>AC25*(1+AD$10)*(1-AD$11)*IF(MOD((5+AD$7),12)=0,IF((5+AD$7)=12,AD$12,AD$13)*(1+AD$14),1)</f>
        <v/>
      </c>
      <c r="AE25" s="48">
        <f>AD25*(1+AE$10)*(1-AE$11)*IF(MOD((5+AE$7),12)=0,IF((5+AE$7)=12,AE$12,AE$13)*(1+AE$14),1)</f>
        <v/>
      </c>
      <c r="AF25" s="48">
        <f>AE25*(1+AF$10)*(1-AF$11)*IF(MOD((5+AF$7),12)=0,IF((5+AF$7)=12,AF$12,AF$13)*(1+AF$14),1)</f>
        <v/>
      </c>
      <c r="AG25" s="48">
        <f>AF25*(1+AG$10)*(1-AG$11)*IF(MOD((5+AG$7),12)=0,IF((5+AG$7)=12,AG$12,AG$13)*(1+AG$14),1)</f>
        <v/>
      </c>
      <c r="AH25" s="48">
        <f>AG25*(1+AH$10)*(1-AH$11)*IF(MOD((5+AH$7),12)=0,IF((5+AH$7)=12,AH$12,AH$13)*(1+AH$14),1)</f>
        <v/>
      </c>
      <c r="AI25" s="48">
        <f>AH25*(1+AI$10)*(1-AI$11)*IF(MOD((5+AI$7),12)=0,IF((5+AI$7)=12,AI$12,AI$13)*(1+AI$14),1)</f>
        <v/>
      </c>
      <c r="AJ25" s="48">
        <f>AI25*(1+AJ$10)*(1-AJ$11)*IF(MOD((5+AJ$7),12)=0,IF((5+AJ$7)=12,AJ$12,AJ$13)*(1+AJ$14),1)</f>
        <v/>
      </c>
      <c r="AK25" s="48">
        <f>AJ25*(1+AK$10)*(1-AK$11)*IF(MOD((5+AK$7),12)=0,IF((5+AK$7)=12,AK$12,AK$13)*(1+AK$14),1)</f>
        <v/>
      </c>
      <c r="AL25" s="48">
        <f>AK25*(1+AL$10)*(1-AL$11)*IF(MOD((5+AL$7),12)=0,IF((5+AL$7)=12,AL$12,AL$13)*(1+AL$14),1)</f>
        <v/>
      </c>
      <c r="AM25" s="48">
        <f>AL25*(1+AM$10)*(1-AM$11)*IF(MOD((5+AM$7),12)=0,IF((5+AM$7)=12,AM$12,AM$13)*(1+AM$14),1)</f>
        <v/>
      </c>
      <c r="AN25" s="48">
        <f>AM25*(1+AN$10)*(1-AN$11)*IF(MOD((5+AN$7),12)=0,IF((5+AN$7)=12,AN$12,AN$13)*(1+AN$14),1)</f>
        <v/>
      </c>
      <c r="AO25" s="48">
        <f>AN25*(1+AO$10)*(1-AO$11)*IF(MOD((5+AO$7),12)=0,IF((5+AO$7)=12,AO$12,AO$13)*(1+AO$14),1)</f>
        <v/>
      </c>
      <c r="AP25" s="48">
        <f>AO25*(1+AP$10)*(1-AP$11)*IF(MOD((5+AP$7),12)=0,IF((5+AP$7)=12,AP$12,AP$13)*(1+AP$14),1)</f>
        <v/>
      </c>
      <c r="AQ25" s="48">
        <f>AP25*(1+AQ$10)*(1-AQ$11)*IF(MOD((5+AQ$7),12)=0,IF((5+AQ$7)=12,AQ$12,AQ$13)*(1+AQ$14),1)</f>
        <v/>
      </c>
      <c r="AR25" s="48">
        <f>AQ25*(1+AR$10)*(1-AR$11)*IF(MOD((5+AR$7),12)=0,IF((5+AR$7)=12,AR$12,AR$13)*(1+AR$14),1)</f>
        <v/>
      </c>
      <c r="AS25" s="48">
        <f>AR25*(1+AS$10)*(1-AS$11)*IF(MOD((5+AS$7),12)=0,IF((5+AS$7)=12,AS$12,AS$13)*(1+AS$14),1)</f>
        <v/>
      </c>
      <c r="AT25" s="48">
        <f>AS25*(1+AT$10)*(1-AT$11)*IF(MOD((5+AT$7),12)=0,IF((5+AT$7)=12,AT$12,AT$13)*(1+AT$14),1)</f>
        <v/>
      </c>
      <c r="AU25" s="48">
        <f>AT25*(1+AU$10)*(1-AU$11)*IF(MOD((5+AU$7),12)=0,IF((5+AU$7)=12,AU$12,AU$13)*(1+AU$14),1)</f>
        <v/>
      </c>
      <c r="AV25" s="48">
        <f>AU25*(1+AV$10)*(1-AV$11)*IF(MOD((5+AV$7),12)=0,IF((5+AV$7)=12,AV$12,AV$13)*(1+AV$14),1)</f>
        <v/>
      </c>
      <c r="AW25" s="48">
        <f>AV25*(1+AW$10)*(1-AW$11)*IF(MOD((5+AW$7),12)=0,IF((5+AW$7)=12,AW$12,AW$13)*(1+AW$14),1)</f>
        <v/>
      </c>
      <c r="AX25" s="48">
        <f>AW25*(1+AX$10)*(1-AX$11)*IF(MOD((5+AX$7),12)=0,IF((5+AX$7)=12,AX$12,AX$13)*(1+AX$14),1)</f>
        <v/>
      </c>
      <c r="AY25" s="48">
        <f>AX25*(1+AY$10)*(1-AY$11)*IF(MOD((5+AY$7),12)=0,IF((5+AY$7)=12,AY$12,AY$13)*(1+AY$14),1)</f>
        <v/>
      </c>
      <c r="AZ25" s="48">
        <f>AY25*(1+AZ$10)*(1-AZ$11)*IF(MOD((5+AZ$7),12)=0,IF((5+AZ$7)=12,AZ$12,AZ$13)*(1+AZ$14),1)</f>
        <v/>
      </c>
      <c r="BA25" s="48">
        <f>AZ25*(1+BA$10)*(1-BA$11)*IF(MOD((5+BA$7),12)=0,IF((5+BA$7)=12,BA$12,BA$13)*(1+BA$14),1)</f>
        <v/>
      </c>
      <c r="BB25" s="48">
        <f>BA25*(1+BB$10)*(1-BB$11)*IF(MOD((5+BB$7),12)=0,IF((5+BB$7)=12,BB$12,BB$13)*(1+BB$14),1)</f>
        <v/>
      </c>
      <c r="BC25" s="48">
        <f>BB25*(1+BC$10)*(1-BC$11)*IF(MOD((5+BC$7),12)=0,IF((5+BC$7)=12,BC$12,BC$13)*(1+BC$14),1)</f>
        <v/>
      </c>
      <c r="BD25" s="48">
        <f>BC25*(1+BD$10)*(1-BD$11)*IF(MOD((5+BD$7),12)=0,IF((5+BD$7)=12,BD$12,BD$13)*(1+BD$14),1)</f>
        <v/>
      </c>
      <c r="BE25" s="48">
        <f>BD25*(1+BE$10)*(1-BE$11)*IF(MOD((5+BE$7),12)=0,IF((5+BE$7)=12,BE$12,BE$13)*(1+BE$14),1)</f>
        <v/>
      </c>
      <c r="BF25" s="48">
        <f>BE25*(1+BF$10)*(1-BF$11)*IF(MOD((5+BF$7),12)=0,IF((5+BF$7)=12,BF$12,BF$13)*(1+BF$14),1)</f>
        <v/>
      </c>
      <c r="BG25" s="48">
        <f>BF25*(1+BG$10)*(1-BG$11)*IF(MOD((5+BG$7),12)=0,IF((5+BG$7)=12,BG$12,BG$13)*(1+BG$14),1)</f>
        <v/>
      </c>
      <c r="BH25" s="48">
        <f>BG25*(1+BH$10)*(1-BH$11)*IF(MOD((5+BH$7),12)=0,IF((5+BH$7)=12,BH$12,BH$13)*(1+BH$14),1)</f>
        <v/>
      </c>
      <c r="BI25" s="48">
        <f>BH25*(1+BI$10)*(1-BI$11)*IF(MOD((5+BI$7),12)=0,IF((5+BI$7)=12,BI$12,BI$13)*(1+BI$14),1)</f>
        <v/>
      </c>
      <c r="BJ25" s="48">
        <f>BI25*(1+BJ$10)*(1-BJ$11)*IF(MOD((5+BJ$7),12)=0,IF((5+BJ$7)=12,BJ$12,BJ$13)*(1+BJ$14),1)</f>
        <v/>
      </c>
      <c r="BK25" s="48">
        <f>BJ25*(1+BK$10)*(1-BK$11)*IF(MOD((5+BK$7),12)=0,IF((5+BK$7)=12,BK$12,BK$13)*(1+BK$14),1)</f>
        <v/>
      </c>
    </row>
    <row r="26" hidden="1" outlineLevel="1">
      <c r="B26" s="18" t="inlineStr">
        <is>
          <t xml:space="preserve">    Opening slice, age 4 months at start</t>
        </is>
      </c>
      <c r="C26" s="19" t="inlineStr">
        <is>
          <t>$</t>
        </is>
      </c>
      <c r="D26" s="48">
        <f>Inputs!$D$15/12*(1+D$10)*(1-D$11)*IF(MOD((4+D$7),12)=0,IF((4+D$7)=12,D$12,D$13)*(1+D$14),1)</f>
        <v/>
      </c>
      <c r="E26" s="48">
        <f>D26*(1+E$10)*(1-E$11)*IF(MOD((4+E$7),12)=0,IF((4+E$7)=12,E$12,E$13)*(1+E$14),1)</f>
        <v/>
      </c>
      <c r="F26" s="48">
        <f>E26*(1+F$10)*(1-F$11)*IF(MOD((4+F$7),12)=0,IF((4+F$7)=12,F$12,F$13)*(1+F$14),1)</f>
        <v/>
      </c>
      <c r="G26" s="48">
        <f>F26*(1+G$10)*(1-G$11)*IF(MOD((4+G$7),12)=0,IF((4+G$7)=12,G$12,G$13)*(1+G$14),1)</f>
        <v/>
      </c>
      <c r="H26" s="48">
        <f>G26*(1+H$10)*(1-H$11)*IF(MOD((4+H$7),12)=0,IF((4+H$7)=12,H$12,H$13)*(1+H$14),1)</f>
        <v/>
      </c>
      <c r="I26" s="48">
        <f>H26*(1+I$10)*(1-I$11)*IF(MOD((4+I$7),12)=0,IF((4+I$7)=12,I$12,I$13)*(1+I$14),1)</f>
        <v/>
      </c>
      <c r="J26" s="48">
        <f>I26*(1+J$10)*(1-J$11)*IF(MOD((4+J$7),12)=0,IF((4+J$7)=12,J$12,J$13)*(1+J$14),1)</f>
        <v/>
      </c>
      <c r="K26" s="48">
        <f>J26*(1+K$10)*(1-K$11)*IF(MOD((4+K$7),12)=0,IF((4+K$7)=12,K$12,K$13)*(1+K$14),1)</f>
        <v/>
      </c>
      <c r="L26" s="48">
        <f>K26*(1+L$10)*(1-L$11)*IF(MOD((4+L$7),12)=0,IF((4+L$7)=12,L$12,L$13)*(1+L$14),1)</f>
        <v/>
      </c>
      <c r="M26" s="48">
        <f>L26*(1+M$10)*(1-M$11)*IF(MOD((4+M$7),12)=0,IF((4+M$7)=12,M$12,M$13)*(1+M$14),1)</f>
        <v/>
      </c>
      <c r="N26" s="48">
        <f>M26*(1+N$10)*(1-N$11)*IF(MOD((4+N$7),12)=0,IF((4+N$7)=12,N$12,N$13)*(1+N$14),1)</f>
        <v/>
      </c>
      <c r="O26" s="48">
        <f>N26*(1+O$10)*(1-O$11)*IF(MOD((4+O$7),12)=0,IF((4+O$7)=12,O$12,O$13)*(1+O$14),1)</f>
        <v/>
      </c>
      <c r="P26" s="48">
        <f>O26*(1+P$10)*(1-P$11)*IF(MOD((4+P$7),12)=0,IF((4+P$7)=12,P$12,P$13)*(1+P$14),1)</f>
        <v/>
      </c>
      <c r="Q26" s="48">
        <f>P26*(1+Q$10)*(1-Q$11)*IF(MOD((4+Q$7),12)=0,IF((4+Q$7)=12,Q$12,Q$13)*(1+Q$14),1)</f>
        <v/>
      </c>
      <c r="R26" s="48">
        <f>Q26*(1+R$10)*(1-R$11)*IF(MOD((4+R$7),12)=0,IF((4+R$7)=12,R$12,R$13)*(1+R$14),1)</f>
        <v/>
      </c>
      <c r="S26" s="48">
        <f>R26*(1+S$10)*(1-S$11)*IF(MOD((4+S$7),12)=0,IF((4+S$7)=12,S$12,S$13)*(1+S$14),1)</f>
        <v/>
      </c>
      <c r="T26" s="48">
        <f>S26*(1+T$10)*(1-T$11)*IF(MOD((4+T$7),12)=0,IF((4+T$7)=12,T$12,T$13)*(1+T$14),1)</f>
        <v/>
      </c>
      <c r="U26" s="48">
        <f>T26*(1+U$10)*(1-U$11)*IF(MOD((4+U$7),12)=0,IF((4+U$7)=12,U$12,U$13)*(1+U$14),1)</f>
        <v/>
      </c>
      <c r="V26" s="48">
        <f>U26*(1+V$10)*(1-V$11)*IF(MOD((4+V$7),12)=0,IF((4+V$7)=12,V$12,V$13)*(1+V$14),1)</f>
        <v/>
      </c>
      <c r="W26" s="48">
        <f>V26*(1+W$10)*(1-W$11)*IF(MOD((4+W$7),12)=0,IF((4+W$7)=12,W$12,W$13)*(1+W$14),1)</f>
        <v/>
      </c>
      <c r="X26" s="48">
        <f>W26*(1+X$10)*(1-X$11)*IF(MOD((4+X$7),12)=0,IF((4+X$7)=12,X$12,X$13)*(1+X$14),1)</f>
        <v/>
      </c>
      <c r="Y26" s="48">
        <f>X26*(1+Y$10)*(1-Y$11)*IF(MOD((4+Y$7),12)=0,IF((4+Y$7)=12,Y$12,Y$13)*(1+Y$14),1)</f>
        <v/>
      </c>
      <c r="Z26" s="48">
        <f>Y26*(1+Z$10)*(1-Z$11)*IF(MOD((4+Z$7),12)=0,IF((4+Z$7)=12,Z$12,Z$13)*(1+Z$14),1)</f>
        <v/>
      </c>
      <c r="AA26" s="48">
        <f>Z26*(1+AA$10)*(1-AA$11)*IF(MOD((4+AA$7),12)=0,IF((4+AA$7)=12,AA$12,AA$13)*(1+AA$14),1)</f>
        <v/>
      </c>
      <c r="AB26" s="48">
        <f>AA26*(1+AB$10)*(1-AB$11)*IF(MOD((4+AB$7),12)=0,IF((4+AB$7)=12,AB$12,AB$13)*(1+AB$14),1)</f>
        <v/>
      </c>
      <c r="AC26" s="48">
        <f>AB26*(1+AC$10)*(1-AC$11)*IF(MOD((4+AC$7),12)=0,IF((4+AC$7)=12,AC$12,AC$13)*(1+AC$14),1)</f>
        <v/>
      </c>
      <c r="AD26" s="48">
        <f>AC26*(1+AD$10)*(1-AD$11)*IF(MOD((4+AD$7),12)=0,IF((4+AD$7)=12,AD$12,AD$13)*(1+AD$14),1)</f>
        <v/>
      </c>
      <c r="AE26" s="48">
        <f>AD26*(1+AE$10)*(1-AE$11)*IF(MOD((4+AE$7),12)=0,IF((4+AE$7)=12,AE$12,AE$13)*(1+AE$14),1)</f>
        <v/>
      </c>
      <c r="AF26" s="48">
        <f>AE26*(1+AF$10)*(1-AF$11)*IF(MOD((4+AF$7),12)=0,IF((4+AF$7)=12,AF$12,AF$13)*(1+AF$14),1)</f>
        <v/>
      </c>
      <c r="AG26" s="48">
        <f>AF26*(1+AG$10)*(1-AG$11)*IF(MOD((4+AG$7),12)=0,IF((4+AG$7)=12,AG$12,AG$13)*(1+AG$14),1)</f>
        <v/>
      </c>
      <c r="AH26" s="48">
        <f>AG26*(1+AH$10)*(1-AH$11)*IF(MOD((4+AH$7),12)=0,IF((4+AH$7)=12,AH$12,AH$13)*(1+AH$14),1)</f>
        <v/>
      </c>
      <c r="AI26" s="48">
        <f>AH26*(1+AI$10)*(1-AI$11)*IF(MOD((4+AI$7),12)=0,IF((4+AI$7)=12,AI$12,AI$13)*(1+AI$14),1)</f>
        <v/>
      </c>
      <c r="AJ26" s="48">
        <f>AI26*(1+AJ$10)*(1-AJ$11)*IF(MOD((4+AJ$7),12)=0,IF((4+AJ$7)=12,AJ$12,AJ$13)*(1+AJ$14),1)</f>
        <v/>
      </c>
      <c r="AK26" s="48">
        <f>AJ26*(1+AK$10)*(1-AK$11)*IF(MOD((4+AK$7),12)=0,IF((4+AK$7)=12,AK$12,AK$13)*(1+AK$14),1)</f>
        <v/>
      </c>
      <c r="AL26" s="48">
        <f>AK26*(1+AL$10)*(1-AL$11)*IF(MOD((4+AL$7),12)=0,IF((4+AL$7)=12,AL$12,AL$13)*(1+AL$14),1)</f>
        <v/>
      </c>
      <c r="AM26" s="48">
        <f>AL26*(1+AM$10)*(1-AM$11)*IF(MOD((4+AM$7),12)=0,IF((4+AM$7)=12,AM$12,AM$13)*(1+AM$14),1)</f>
        <v/>
      </c>
      <c r="AN26" s="48">
        <f>AM26*(1+AN$10)*(1-AN$11)*IF(MOD((4+AN$7),12)=0,IF((4+AN$7)=12,AN$12,AN$13)*(1+AN$14),1)</f>
        <v/>
      </c>
      <c r="AO26" s="48">
        <f>AN26*(1+AO$10)*(1-AO$11)*IF(MOD((4+AO$7),12)=0,IF((4+AO$7)=12,AO$12,AO$13)*(1+AO$14),1)</f>
        <v/>
      </c>
      <c r="AP26" s="48">
        <f>AO26*(1+AP$10)*(1-AP$11)*IF(MOD((4+AP$7),12)=0,IF((4+AP$7)=12,AP$12,AP$13)*(1+AP$14),1)</f>
        <v/>
      </c>
      <c r="AQ26" s="48">
        <f>AP26*(1+AQ$10)*(1-AQ$11)*IF(MOD((4+AQ$7),12)=0,IF((4+AQ$7)=12,AQ$12,AQ$13)*(1+AQ$14),1)</f>
        <v/>
      </c>
      <c r="AR26" s="48">
        <f>AQ26*(1+AR$10)*(1-AR$11)*IF(MOD((4+AR$7),12)=0,IF((4+AR$7)=12,AR$12,AR$13)*(1+AR$14),1)</f>
        <v/>
      </c>
      <c r="AS26" s="48">
        <f>AR26*(1+AS$10)*(1-AS$11)*IF(MOD((4+AS$7),12)=0,IF((4+AS$7)=12,AS$12,AS$13)*(1+AS$14),1)</f>
        <v/>
      </c>
      <c r="AT26" s="48">
        <f>AS26*(1+AT$10)*(1-AT$11)*IF(MOD((4+AT$7),12)=0,IF((4+AT$7)=12,AT$12,AT$13)*(1+AT$14),1)</f>
        <v/>
      </c>
      <c r="AU26" s="48">
        <f>AT26*(1+AU$10)*(1-AU$11)*IF(MOD((4+AU$7),12)=0,IF((4+AU$7)=12,AU$12,AU$13)*(1+AU$14),1)</f>
        <v/>
      </c>
      <c r="AV26" s="48">
        <f>AU26*(1+AV$10)*(1-AV$11)*IF(MOD((4+AV$7),12)=0,IF((4+AV$7)=12,AV$12,AV$13)*(1+AV$14),1)</f>
        <v/>
      </c>
      <c r="AW26" s="48">
        <f>AV26*(1+AW$10)*(1-AW$11)*IF(MOD((4+AW$7),12)=0,IF((4+AW$7)=12,AW$12,AW$13)*(1+AW$14),1)</f>
        <v/>
      </c>
      <c r="AX26" s="48">
        <f>AW26*(1+AX$10)*(1-AX$11)*IF(MOD((4+AX$7),12)=0,IF((4+AX$7)=12,AX$12,AX$13)*(1+AX$14),1)</f>
        <v/>
      </c>
      <c r="AY26" s="48">
        <f>AX26*(1+AY$10)*(1-AY$11)*IF(MOD((4+AY$7),12)=0,IF((4+AY$7)=12,AY$12,AY$13)*(1+AY$14),1)</f>
        <v/>
      </c>
      <c r="AZ26" s="48">
        <f>AY26*(1+AZ$10)*(1-AZ$11)*IF(MOD((4+AZ$7),12)=0,IF((4+AZ$7)=12,AZ$12,AZ$13)*(1+AZ$14),1)</f>
        <v/>
      </c>
      <c r="BA26" s="48">
        <f>AZ26*(1+BA$10)*(1-BA$11)*IF(MOD((4+BA$7),12)=0,IF((4+BA$7)=12,BA$12,BA$13)*(1+BA$14),1)</f>
        <v/>
      </c>
      <c r="BB26" s="48">
        <f>BA26*(1+BB$10)*(1-BB$11)*IF(MOD((4+BB$7),12)=0,IF((4+BB$7)=12,BB$12,BB$13)*(1+BB$14),1)</f>
        <v/>
      </c>
      <c r="BC26" s="48">
        <f>BB26*(1+BC$10)*(1-BC$11)*IF(MOD((4+BC$7),12)=0,IF((4+BC$7)=12,BC$12,BC$13)*(1+BC$14),1)</f>
        <v/>
      </c>
      <c r="BD26" s="48">
        <f>BC26*(1+BD$10)*(1-BD$11)*IF(MOD((4+BD$7),12)=0,IF((4+BD$7)=12,BD$12,BD$13)*(1+BD$14),1)</f>
        <v/>
      </c>
      <c r="BE26" s="48">
        <f>BD26*(1+BE$10)*(1-BE$11)*IF(MOD((4+BE$7),12)=0,IF((4+BE$7)=12,BE$12,BE$13)*(1+BE$14),1)</f>
        <v/>
      </c>
      <c r="BF26" s="48">
        <f>BE26*(1+BF$10)*(1-BF$11)*IF(MOD((4+BF$7),12)=0,IF((4+BF$7)=12,BF$12,BF$13)*(1+BF$14),1)</f>
        <v/>
      </c>
      <c r="BG26" s="48">
        <f>BF26*(1+BG$10)*(1-BG$11)*IF(MOD((4+BG$7),12)=0,IF((4+BG$7)=12,BG$12,BG$13)*(1+BG$14),1)</f>
        <v/>
      </c>
      <c r="BH26" s="48">
        <f>BG26*(1+BH$10)*(1-BH$11)*IF(MOD((4+BH$7),12)=0,IF((4+BH$7)=12,BH$12,BH$13)*(1+BH$14),1)</f>
        <v/>
      </c>
      <c r="BI26" s="48">
        <f>BH26*(1+BI$10)*(1-BI$11)*IF(MOD((4+BI$7),12)=0,IF((4+BI$7)=12,BI$12,BI$13)*(1+BI$14),1)</f>
        <v/>
      </c>
      <c r="BJ26" s="48">
        <f>BI26*(1+BJ$10)*(1-BJ$11)*IF(MOD((4+BJ$7),12)=0,IF((4+BJ$7)=12,BJ$12,BJ$13)*(1+BJ$14),1)</f>
        <v/>
      </c>
      <c r="BK26" s="48">
        <f>BJ26*(1+BK$10)*(1-BK$11)*IF(MOD((4+BK$7),12)=0,IF((4+BK$7)=12,BK$12,BK$13)*(1+BK$14),1)</f>
        <v/>
      </c>
    </row>
    <row r="27" hidden="1" outlineLevel="1">
      <c r="B27" s="18" t="inlineStr">
        <is>
          <t xml:space="preserve">    Opening slice, age 3 months at start</t>
        </is>
      </c>
      <c r="C27" s="19" t="inlineStr">
        <is>
          <t>$</t>
        </is>
      </c>
      <c r="D27" s="48">
        <f>Inputs!$D$15/12*(1+D$10)*(1-D$11)*IF(MOD((3+D$7),12)=0,IF((3+D$7)=12,D$12,D$13)*(1+D$14),1)</f>
        <v/>
      </c>
      <c r="E27" s="48">
        <f>D27*(1+E$10)*(1-E$11)*IF(MOD((3+E$7),12)=0,IF((3+E$7)=12,E$12,E$13)*(1+E$14),1)</f>
        <v/>
      </c>
      <c r="F27" s="48">
        <f>E27*(1+F$10)*(1-F$11)*IF(MOD((3+F$7),12)=0,IF((3+F$7)=12,F$12,F$13)*(1+F$14),1)</f>
        <v/>
      </c>
      <c r="G27" s="48">
        <f>F27*(1+G$10)*(1-G$11)*IF(MOD((3+G$7),12)=0,IF((3+G$7)=12,G$12,G$13)*(1+G$14),1)</f>
        <v/>
      </c>
      <c r="H27" s="48">
        <f>G27*(1+H$10)*(1-H$11)*IF(MOD((3+H$7),12)=0,IF((3+H$7)=12,H$12,H$13)*(1+H$14),1)</f>
        <v/>
      </c>
      <c r="I27" s="48">
        <f>H27*(1+I$10)*(1-I$11)*IF(MOD((3+I$7),12)=0,IF((3+I$7)=12,I$12,I$13)*(1+I$14),1)</f>
        <v/>
      </c>
      <c r="J27" s="48">
        <f>I27*(1+J$10)*(1-J$11)*IF(MOD((3+J$7),12)=0,IF((3+J$7)=12,J$12,J$13)*(1+J$14),1)</f>
        <v/>
      </c>
      <c r="K27" s="48">
        <f>J27*(1+K$10)*(1-K$11)*IF(MOD((3+K$7),12)=0,IF((3+K$7)=12,K$12,K$13)*(1+K$14),1)</f>
        <v/>
      </c>
      <c r="L27" s="48">
        <f>K27*(1+L$10)*(1-L$11)*IF(MOD((3+L$7),12)=0,IF((3+L$7)=12,L$12,L$13)*(1+L$14),1)</f>
        <v/>
      </c>
      <c r="M27" s="48">
        <f>L27*(1+M$10)*(1-M$11)*IF(MOD((3+M$7),12)=0,IF((3+M$7)=12,M$12,M$13)*(1+M$14),1)</f>
        <v/>
      </c>
      <c r="N27" s="48">
        <f>M27*(1+N$10)*(1-N$11)*IF(MOD((3+N$7),12)=0,IF((3+N$7)=12,N$12,N$13)*(1+N$14),1)</f>
        <v/>
      </c>
      <c r="O27" s="48">
        <f>N27*(1+O$10)*(1-O$11)*IF(MOD((3+O$7),12)=0,IF((3+O$7)=12,O$12,O$13)*(1+O$14),1)</f>
        <v/>
      </c>
      <c r="P27" s="48">
        <f>O27*(1+P$10)*(1-P$11)*IF(MOD((3+P$7),12)=0,IF((3+P$7)=12,P$12,P$13)*(1+P$14),1)</f>
        <v/>
      </c>
      <c r="Q27" s="48">
        <f>P27*(1+Q$10)*(1-Q$11)*IF(MOD((3+Q$7),12)=0,IF((3+Q$7)=12,Q$12,Q$13)*(1+Q$14),1)</f>
        <v/>
      </c>
      <c r="R27" s="48">
        <f>Q27*(1+R$10)*(1-R$11)*IF(MOD((3+R$7),12)=0,IF((3+R$7)=12,R$12,R$13)*(1+R$14),1)</f>
        <v/>
      </c>
      <c r="S27" s="48">
        <f>R27*(1+S$10)*(1-S$11)*IF(MOD((3+S$7),12)=0,IF((3+S$7)=12,S$12,S$13)*(1+S$14),1)</f>
        <v/>
      </c>
      <c r="T27" s="48">
        <f>S27*(1+T$10)*(1-T$11)*IF(MOD((3+T$7),12)=0,IF((3+T$7)=12,T$12,T$13)*(1+T$14),1)</f>
        <v/>
      </c>
      <c r="U27" s="48">
        <f>T27*(1+U$10)*(1-U$11)*IF(MOD((3+U$7),12)=0,IF((3+U$7)=12,U$12,U$13)*(1+U$14),1)</f>
        <v/>
      </c>
      <c r="V27" s="48">
        <f>U27*(1+V$10)*(1-V$11)*IF(MOD((3+V$7),12)=0,IF((3+V$7)=12,V$12,V$13)*(1+V$14),1)</f>
        <v/>
      </c>
      <c r="W27" s="48">
        <f>V27*(1+W$10)*(1-W$11)*IF(MOD((3+W$7),12)=0,IF((3+W$7)=12,W$12,W$13)*(1+W$14),1)</f>
        <v/>
      </c>
      <c r="X27" s="48">
        <f>W27*(1+X$10)*(1-X$11)*IF(MOD((3+X$7),12)=0,IF((3+X$7)=12,X$12,X$13)*(1+X$14),1)</f>
        <v/>
      </c>
      <c r="Y27" s="48">
        <f>X27*(1+Y$10)*(1-Y$11)*IF(MOD((3+Y$7),12)=0,IF((3+Y$7)=12,Y$12,Y$13)*(1+Y$14),1)</f>
        <v/>
      </c>
      <c r="Z27" s="48">
        <f>Y27*(1+Z$10)*(1-Z$11)*IF(MOD((3+Z$7),12)=0,IF((3+Z$7)=12,Z$12,Z$13)*(1+Z$14),1)</f>
        <v/>
      </c>
      <c r="AA27" s="48">
        <f>Z27*(1+AA$10)*(1-AA$11)*IF(MOD((3+AA$7),12)=0,IF((3+AA$7)=12,AA$12,AA$13)*(1+AA$14),1)</f>
        <v/>
      </c>
      <c r="AB27" s="48">
        <f>AA27*(1+AB$10)*(1-AB$11)*IF(MOD((3+AB$7),12)=0,IF((3+AB$7)=12,AB$12,AB$13)*(1+AB$14),1)</f>
        <v/>
      </c>
      <c r="AC27" s="48">
        <f>AB27*(1+AC$10)*(1-AC$11)*IF(MOD((3+AC$7),12)=0,IF((3+AC$7)=12,AC$12,AC$13)*(1+AC$14),1)</f>
        <v/>
      </c>
      <c r="AD27" s="48">
        <f>AC27*(1+AD$10)*(1-AD$11)*IF(MOD((3+AD$7),12)=0,IF((3+AD$7)=12,AD$12,AD$13)*(1+AD$14),1)</f>
        <v/>
      </c>
      <c r="AE27" s="48">
        <f>AD27*(1+AE$10)*(1-AE$11)*IF(MOD((3+AE$7),12)=0,IF((3+AE$7)=12,AE$12,AE$13)*(1+AE$14),1)</f>
        <v/>
      </c>
      <c r="AF27" s="48">
        <f>AE27*(1+AF$10)*(1-AF$11)*IF(MOD((3+AF$7),12)=0,IF((3+AF$7)=12,AF$12,AF$13)*(1+AF$14),1)</f>
        <v/>
      </c>
      <c r="AG27" s="48">
        <f>AF27*(1+AG$10)*(1-AG$11)*IF(MOD((3+AG$7),12)=0,IF((3+AG$7)=12,AG$12,AG$13)*(1+AG$14),1)</f>
        <v/>
      </c>
      <c r="AH27" s="48">
        <f>AG27*(1+AH$10)*(1-AH$11)*IF(MOD((3+AH$7),12)=0,IF((3+AH$7)=12,AH$12,AH$13)*(1+AH$14),1)</f>
        <v/>
      </c>
      <c r="AI27" s="48">
        <f>AH27*(1+AI$10)*(1-AI$11)*IF(MOD((3+AI$7),12)=0,IF((3+AI$7)=12,AI$12,AI$13)*(1+AI$14),1)</f>
        <v/>
      </c>
      <c r="AJ27" s="48">
        <f>AI27*(1+AJ$10)*(1-AJ$11)*IF(MOD((3+AJ$7),12)=0,IF((3+AJ$7)=12,AJ$12,AJ$13)*(1+AJ$14),1)</f>
        <v/>
      </c>
      <c r="AK27" s="48">
        <f>AJ27*(1+AK$10)*(1-AK$11)*IF(MOD((3+AK$7),12)=0,IF((3+AK$7)=12,AK$12,AK$13)*(1+AK$14),1)</f>
        <v/>
      </c>
      <c r="AL27" s="48">
        <f>AK27*(1+AL$10)*(1-AL$11)*IF(MOD((3+AL$7),12)=0,IF((3+AL$7)=12,AL$12,AL$13)*(1+AL$14),1)</f>
        <v/>
      </c>
      <c r="AM27" s="48">
        <f>AL27*(1+AM$10)*(1-AM$11)*IF(MOD((3+AM$7),12)=0,IF((3+AM$7)=12,AM$12,AM$13)*(1+AM$14),1)</f>
        <v/>
      </c>
      <c r="AN27" s="48">
        <f>AM27*(1+AN$10)*(1-AN$11)*IF(MOD((3+AN$7),12)=0,IF((3+AN$7)=12,AN$12,AN$13)*(1+AN$14),1)</f>
        <v/>
      </c>
      <c r="AO27" s="48">
        <f>AN27*(1+AO$10)*(1-AO$11)*IF(MOD((3+AO$7),12)=0,IF((3+AO$7)=12,AO$12,AO$13)*(1+AO$14),1)</f>
        <v/>
      </c>
      <c r="AP27" s="48">
        <f>AO27*(1+AP$10)*(1-AP$11)*IF(MOD((3+AP$7),12)=0,IF((3+AP$7)=12,AP$12,AP$13)*(1+AP$14),1)</f>
        <v/>
      </c>
      <c r="AQ27" s="48">
        <f>AP27*(1+AQ$10)*(1-AQ$11)*IF(MOD((3+AQ$7),12)=0,IF((3+AQ$7)=12,AQ$12,AQ$13)*(1+AQ$14),1)</f>
        <v/>
      </c>
      <c r="AR27" s="48">
        <f>AQ27*(1+AR$10)*(1-AR$11)*IF(MOD((3+AR$7),12)=0,IF((3+AR$7)=12,AR$12,AR$13)*(1+AR$14),1)</f>
        <v/>
      </c>
      <c r="AS27" s="48">
        <f>AR27*(1+AS$10)*(1-AS$11)*IF(MOD((3+AS$7),12)=0,IF((3+AS$7)=12,AS$12,AS$13)*(1+AS$14),1)</f>
        <v/>
      </c>
      <c r="AT27" s="48">
        <f>AS27*(1+AT$10)*(1-AT$11)*IF(MOD((3+AT$7),12)=0,IF((3+AT$7)=12,AT$12,AT$13)*(1+AT$14),1)</f>
        <v/>
      </c>
      <c r="AU27" s="48">
        <f>AT27*(1+AU$10)*(1-AU$11)*IF(MOD((3+AU$7),12)=0,IF((3+AU$7)=12,AU$12,AU$13)*(1+AU$14),1)</f>
        <v/>
      </c>
      <c r="AV27" s="48">
        <f>AU27*(1+AV$10)*(1-AV$11)*IF(MOD((3+AV$7),12)=0,IF((3+AV$7)=12,AV$12,AV$13)*(1+AV$14),1)</f>
        <v/>
      </c>
      <c r="AW27" s="48">
        <f>AV27*(1+AW$10)*(1-AW$11)*IF(MOD((3+AW$7),12)=0,IF((3+AW$7)=12,AW$12,AW$13)*(1+AW$14),1)</f>
        <v/>
      </c>
      <c r="AX27" s="48">
        <f>AW27*(1+AX$10)*(1-AX$11)*IF(MOD((3+AX$7),12)=0,IF((3+AX$7)=12,AX$12,AX$13)*(1+AX$14),1)</f>
        <v/>
      </c>
      <c r="AY27" s="48">
        <f>AX27*(1+AY$10)*(1-AY$11)*IF(MOD((3+AY$7),12)=0,IF((3+AY$7)=12,AY$12,AY$13)*(1+AY$14),1)</f>
        <v/>
      </c>
      <c r="AZ27" s="48">
        <f>AY27*(1+AZ$10)*(1-AZ$11)*IF(MOD((3+AZ$7),12)=0,IF((3+AZ$7)=12,AZ$12,AZ$13)*(1+AZ$14),1)</f>
        <v/>
      </c>
      <c r="BA27" s="48">
        <f>AZ27*(1+BA$10)*(1-BA$11)*IF(MOD((3+BA$7),12)=0,IF((3+BA$7)=12,BA$12,BA$13)*(1+BA$14),1)</f>
        <v/>
      </c>
      <c r="BB27" s="48">
        <f>BA27*(1+BB$10)*(1-BB$11)*IF(MOD((3+BB$7),12)=0,IF((3+BB$7)=12,BB$12,BB$13)*(1+BB$14),1)</f>
        <v/>
      </c>
      <c r="BC27" s="48">
        <f>BB27*(1+BC$10)*(1-BC$11)*IF(MOD((3+BC$7),12)=0,IF((3+BC$7)=12,BC$12,BC$13)*(1+BC$14),1)</f>
        <v/>
      </c>
      <c r="BD27" s="48">
        <f>BC27*(1+BD$10)*(1-BD$11)*IF(MOD((3+BD$7),12)=0,IF((3+BD$7)=12,BD$12,BD$13)*(1+BD$14),1)</f>
        <v/>
      </c>
      <c r="BE27" s="48">
        <f>BD27*(1+BE$10)*(1-BE$11)*IF(MOD((3+BE$7),12)=0,IF((3+BE$7)=12,BE$12,BE$13)*(1+BE$14),1)</f>
        <v/>
      </c>
      <c r="BF27" s="48">
        <f>BE27*(1+BF$10)*(1-BF$11)*IF(MOD((3+BF$7),12)=0,IF((3+BF$7)=12,BF$12,BF$13)*(1+BF$14),1)</f>
        <v/>
      </c>
      <c r="BG27" s="48">
        <f>BF27*(1+BG$10)*(1-BG$11)*IF(MOD((3+BG$7),12)=0,IF((3+BG$7)=12,BG$12,BG$13)*(1+BG$14),1)</f>
        <v/>
      </c>
      <c r="BH27" s="48">
        <f>BG27*(1+BH$10)*(1-BH$11)*IF(MOD((3+BH$7),12)=0,IF((3+BH$7)=12,BH$12,BH$13)*(1+BH$14),1)</f>
        <v/>
      </c>
      <c r="BI27" s="48">
        <f>BH27*(1+BI$10)*(1-BI$11)*IF(MOD((3+BI$7),12)=0,IF((3+BI$7)=12,BI$12,BI$13)*(1+BI$14),1)</f>
        <v/>
      </c>
      <c r="BJ27" s="48">
        <f>BI27*(1+BJ$10)*(1-BJ$11)*IF(MOD((3+BJ$7),12)=0,IF((3+BJ$7)=12,BJ$12,BJ$13)*(1+BJ$14),1)</f>
        <v/>
      </c>
      <c r="BK27" s="48">
        <f>BJ27*(1+BK$10)*(1-BK$11)*IF(MOD((3+BK$7),12)=0,IF((3+BK$7)=12,BK$12,BK$13)*(1+BK$14),1)</f>
        <v/>
      </c>
    </row>
    <row r="28" hidden="1" outlineLevel="1">
      <c r="B28" s="18" t="inlineStr">
        <is>
          <t xml:space="preserve">    Opening slice, age 2 months at start</t>
        </is>
      </c>
      <c r="C28" s="19" t="inlineStr">
        <is>
          <t>$</t>
        </is>
      </c>
      <c r="D28" s="48">
        <f>Inputs!$D$15/12*(1+D$10)*(1-D$11)*IF(MOD((2+D$7),12)=0,IF((2+D$7)=12,D$12,D$13)*(1+D$14),1)</f>
        <v/>
      </c>
      <c r="E28" s="48">
        <f>D28*(1+E$10)*(1-E$11)*IF(MOD((2+E$7),12)=0,IF((2+E$7)=12,E$12,E$13)*(1+E$14),1)</f>
        <v/>
      </c>
      <c r="F28" s="48">
        <f>E28*(1+F$10)*(1-F$11)*IF(MOD((2+F$7),12)=0,IF((2+F$7)=12,F$12,F$13)*(1+F$14),1)</f>
        <v/>
      </c>
      <c r="G28" s="48">
        <f>F28*(1+G$10)*(1-G$11)*IF(MOD((2+G$7),12)=0,IF((2+G$7)=12,G$12,G$13)*(1+G$14),1)</f>
        <v/>
      </c>
      <c r="H28" s="48">
        <f>G28*(1+H$10)*(1-H$11)*IF(MOD((2+H$7),12)=0,IF((2+H$7)=12,H$12,H$13)*(1+H$14),1)</f>
        <v/>
      </c>
      <c r="I28" s="48">
        <f>H28*(1+I$10)*(1-I$11)*IF(MOD((2+I$7),12)=0,IF((2+I$7)=12,I$12,I$13)*(1+I$14),1)</f>
        <v/>
      </c>
      <c r="J28" s="48">
        <f>I28*(1+J$10)*(1-J$11)*IF(MOD((2+J$7),12)=0,IF((2+J$7)=12,J$12,J$13)*(1+J$14),1)</f>
        <v/>
      </c>
      <c r="K28" s="48">
        <f>J28*(1+K$10)*(1-K$11)*IF(MOD((2+K$7),12)=0,IF((2+K$7)=12,K$12,K$13)*(1+K$14),1)</f>
        <v/>
      </c>
      <c r="L28" s="48">
        <f>K28*(1+L$10)*(1-L$11)*IF(MOD((2+L$7),12)=0,IF((2+L$7)=12,L$12,L$13)*(1+L$14),1)</f>
        <v/>
      </c>
      <c r="M28" s="48">
        <f>L28*(1+M$10)*(1-M$11)*IF(MOD((2+M$7),12)=0,IF((2+M$7)=12,M$12,M$13)*(1+M$14),1)</f>
        <v/>
      </c>
      <c r="N28" s="48">
        <f>M28*(1+N$10)*(1-N$11)*IF(MOD((2+N$7),12)=0,IF((2+N$7)=12,N$12,N$13)*(1+N$14),1)</f>
        <v/>
      </c>
      <c r="O28" s="48">
        <f>N28*(1+O$10)*(1-O$11)*IF(MOD((2+O$7),12)=0,IF((2+O$7)=12,O$12,O$13)*(1+O$14),1)</f>
        <v/>
      </c>
      <c r="P28" s="48">
        <f>O28*(1+P$10)*(1-P$11)*IF(MOD((2+P$7),12)=0,IF((2+P$7)=12,P$12,P$13)*(1+P$14),1)</f>
        <v/>
      </c>
      <c r="Q28" s="48">
        <f>P28*(1+Q$10)*(1-Q$11)*IF(MOD((2+Q$7),12)=0,IF((2+Q$7)=12,Q$12,Q$13)*(1+Q$14),1)</f>
        <v/>
      </c>
      <c r="R28" s="48">
        <f>Q28*(1+R$10)*(1-R$11)*IF(MOD((2+R$7),12)=0,IF((2+R$7)=12,R$12,R$13)*(1+R$14),1)</f>
        <v/>
      </c>
      <c r="S28" s="48">
        <f>R28*(1+S$10)*(1-S$11)*IF(MOD((2+S$7),12)=0,IF((2+S$7)=12,S$12,S$13)*(1+S$14),1)</f>
        <v/>
      </c>
      <c r="T28" s="48">
        <f>S28*(1+T$10)*(1-T$11)*IF(MOD((2+T$7),12)=0,IF((2+T$7)=12,T$12,T$13)*(1+T$14),1)</f>
        <v/>
      </c>
      <c r="U28" s="48">
        <f>T28*(1+U$10)*(1-U$11)*IF(MOD((2+U$7),12)=0,IF((2+U$7)=12,U$12,U$13)*(1+U$14),1)</f>
        <v/>
      </c>
      <c r="V28" s="48">
        <f>U28*(1+V$10)*(1-V$11)*IF(MOD((2+V$7),12)=0,IF((2+V$7)=12,V$12,V$13)*(1+V$14),1)</f>
        <v/>
      </c>
      <c r="W28" s="48">
        <f>V28*(1+W$10)*(1-W$11)*IF(MOD((2+W$7),12)=0,IF((2+W$7)=12,W$12,W$13)*(1+W$14),1)</f>
        <v/>
      </c>
      <c r="X28" s="48">
        <f>W28*(1+X$10)*(1-X$11)*IF(MOD((2+X$7),12)=0,IF((2+X$7)=12,X$12,X$13)*(1+X$14),1)</f>
        <v/>
      </c>
      <c r="Y28" s="48">
        <f>X28*(1+Y$10)*(1-Y$11)*IF(MOD((2+Y$7),12)=0,IF((2+Y$7)=12,Y$12,Y$13)*(1+Y$14),1)</f>
        <v/>
      </c>
      <c r="Z28" s="48">
        <f>Y28*(1+Z$10)*(1-Z$11)*IF(MOD((2+Z$7),12)=0,IF((2+Z$7)=12,Z$12,Z$13)*(1+Z$14),1)</f>
        <v/>
      </c>
      <c r="AA28" s="48">
        <f>Z28*(1+AA$10)*(1-AA$11)*IF(MOD((2+AA$7),12)=0,IF((2+AA$7)=12,AA$12,AA$13)*(1+AA$14),1)</f>
        <v/>
      </c>
      <c r="AB28" s="48">
        <f>AA28*(1+AB$10)*(1-AB$11)*IF(MOD((2+AB$7),12)=0,IF((2+AB$7)=12,AB$12,AB$13)*(1+AB$14),1)</f>
        <v/>
      </c>
      <c r="AC28" s="48">
        <f>AB28*(1+AC$10)*(1-AC$11)*IF(MOD((2+AC$7),12)=0,IF((2+AC$7)=12,AC$12,AC$13)*(1+AC$14),1)</f>
        <v/>
      </c>
      <c r="AD28" s="48">
        <f>AC28*(1+AD$10)*(1-AD$11)*IF(MOD((2+AD$7),12)=0,IF((2+AD$7)=12,AD$12,AD$13)*(1+AD$14),1)</f>
        <v/>
      </c>
      <c r="AE28" s="48">
        <f>AD28*(1+AE$10)*(1-AE$11)*IF(MOD((2+AE$7),12)=0,IF((2+AE$7)=12,AE$12,AE$13)*(1+AE$14),1)</f>
        <v/>
      </c>
      <c r="AF28" s="48">
        <f>AE28*(1+AF$10)*(1-AF$11)*IF(MOD((2+AF$7),12)=0,IF((2+AF$7)=12,AF$12,AF$13)*(1+AF$14),1)</f>
        <v/>
      </c>
      <c r="AG28" s="48">
        <f>AF28*(1+AG$10)*(1-AG$11)*IF(MOD((2+AG$7),12)=0,IF((2+AG$7)=12,AG$12,AG$13)*(1+AG$14),1)</f>
        <v/>
      </c>
      <c r="AH28" s="48">
        <f>AG28*(1+AH$10)*(1-AH$11)*IF(MOD((2+AH$7),12)=0,IF((2+AH$7)=12,AH$12,AH$13)*(1+AH$14),1)</f>
        <v/>
      </c>
      <c r="AI28" s="48">
        <f>AH28*(1+AI$10)*(1-AI$11)*IF(MOD((2+AI$7),12)=0,IF((2+AI$7)=12,AI$12,AI$13)*(1+AI$14),1)</f>
        <v/>
      </c>
      <c r="AJ28" s="48">
        <f>AI28*(1+AJ$10)*(1-AJ$11)*IF(MOD((2+AJ$7),12)=0,IF((2+AJ$7)=12,AJ$12,AJ$13)*(1+AJ$14),1)</f>
        <v/>
      </c>
      <c r="AK28" s="48">
        <f>AJ28*(1+AK$10)*(1-AK$11)*IF(MOD((2+AK$7),12)=0,IF((2+AK$7)=12,AK$12,AK$13)*(1+AK$14),1)</f>
        <v/>
      </c>
      <c r="AL28" s="48">
        <f>AK28*(1+AL$10)*(1-AL$11)*IF(MOD((2+AL$7),12)=0,IF((2+AL$7)=12,AL$12,AL$13)*(1+AL$14),1)</f>
        <v/>
      </c>
      <c r="AM28" s="48">
        <f>AL28*(1+AM$10)*(1-AM$11)*IF(MOD((2+AM$7),12)=0,IF((2+AM$7)=12,AM$12,AM$13)*(1+AM$14),1)</f>
        <v/>
      </c>
      <c r="AN28" s="48">
        <f>AM28*(1+AN$10)*(1-AN$11)*IF(MOD((2+AN$7),12)=0,IF((2+AN$7)=12,AN$12,AN$13)*(1+AN$14),1)</f>
        <v/>
      </c>
      <c r="AO28" s="48">
        <f>AN28*(1+AO$10)*(1-AO$11)*IF(MOD((2+AO$7),12)=0,IF((2+AO$7)=12,AO$12,AO$13)*(1+AO$14),1)</f>
        <v/>
      </c>
      <c r="AP28" s="48">
        <f>AO28*(1+AP$10)*(1-AP$11)*IF(MOD((2+AP$7),12)=0,IF((2+AP$7)=12,AP$12,AP$13)*(1+AP$14),1)</f>
        <v/>
      </c>
      <c r="AQ28" s="48">
        <f>AP28*(1+AQ$10)*(1-AQ$11)*IF(MOD((2+AQ$7),12)=0,IF((2+AQ$7)=12,AQ$12,AQ$13)*(1+AQ$14),1)</f>
        <v/>
      </c>
      <c r="AR28" s="48">
        <f>AQ28*(1+AR$10)*(1-AR$11)*IF(MOD((2+AR$7),12)=0,IF((2+AR$7)=12,AR$12,AR$13)*(1+AR$14),1)</f>
        <v/>
      </c>
      <c r="AS28" s="48">
        <f>AR28*(1+AS$10)*(1-AS$11)*IF(MOD((2+AS$7),12)=0,IF((2+AS$7)=12,AS$12,AS$13)*(1+AS$14),1)</f>
        <v/>
      </c>
      <c r="AT28" s="48">
        <f>AS28*(1+AT$10)*(1-AT$11)*IF(MOD((2+AT$7),12)=0,IF((2+AT$7)=12,AT$12,AT$13)*(1+AT$14),1)</f>
        <v/>
      </c>
      <c r="AU28" s="48">
        <f>AT28*(1+AU$10)*(1-AU$11)*IF(MOD((2+AU$7),12)=0,IF((2+AU$7)=12,AU$12,AU$13)*(1+AU$14),1)</f>
        <v/>
      </c>
      <c r="AV28" s="48">
        <f>AU28*(1+AV$10)*(1-AV$11)*IF(MOD((2+AV$7),12)=0,IF((2+AV$7)=12,AV$12,AV$13)*(1+AV$14),1)</f>
        <v/>
      </c>
      <c r="AW28" s="48">
        <f>AV28*(1+AW$10)*(1-AW$11)*IF(MOD((2+AW$7),12)=0,IF((2+AW$7)=12,AW$12,AW$13)*(1+AW$14),1)</f>
        <v/>
      </c>
      <c r="AX28" s="48">
        <f>AW28*(1+AX$10)*(1-AX$11)*IF(MOD((2+AX$7),12)=0,IF((2+AX$7)=12,AX$12,AX$13)*(1+AX$14),1)</f>
        <v/>
      </c>
      <c r="AY28" s="48">
        <f>AX28*(1+AY$10)*(1-AY$11)*IF(MOD((2+AY$7),12)=0,IF((2+AY$7)=12,AY$12,AY$13)*(1+AY$14),1)</f>
        <v/>
      </c>
      <c r="AZ28" s="48">
        <f>AY28*(1+AZ$10)*(1-AZ$11)*IF(MOD((2+AZ$7),12)=0,IF((2+AZ$7)=12,AZ$12,AZ$13)*(1+AZ$14),1)</f>
        <v/>
      </c>
      <c r="BA28" s="48">
        <f>AZ28*(1+BA$10)*(1-BA$11)*IF(MOD((2+BA$7),12)=0,IF((2+BA$7)=12,BA$12,BA$13)*(1+BA$14),1)</f>
        <v/>
      </c>
      <c r="BB28" s="48">
        <f>BA28*(1+BB$10)*(1-BB$11)*IF(MOD((2+BB$7),12)=0,IF((2+BB$7)=12,BB$12,BB$13)*(1+BB$14),1)</f>
        <v/>
      </c>
      <c r="BC28" s="48">
        <f>BB28*(1+BC$10)*(1-BC$11)*IF(MOD((2+BC$7),12)=0,IF((2+BC$7)=12,BC$12,BC$13)*(1+BC$14),1)</f>
        <v/>
      </c>
      <c r="BD28" s="48">
        <f>BC28*(1+BD$10)*(1-BD$11)*IF(MOD((2+BD$7),12)=0,IF((2+BD$7)=12,BD$12,BD$13)*(1+BD$14),1)</f>
        <v/>
      </c>
      <c r="BE28" s="48">
        <f>BD28*(1+BE$10)*(1-BE$11)*IF(MOD((2+BE$7),12)=0,IF((2+BE$7)=12,BE$12,BE$13)*(1+BE$14),1)</f>
        <v/>
      </c>
      <c r="BF28" s="48">
        <f>BE28*(1+BF$10)*(1-BF$11)*IF(MOD((2+BF$7),12)=0,IF((2+BF$7)=12,BF$12,BF$13)*(1+BF$14),1)</f>
        <v/>
      </c>
      <c r="BG28" s="48">
        <f>BF28*(1+BG$10)*(1-BG$11)*IF(MOD((2+BG$7),12)=0,IF((2+BG$7)=12,BG$12,BG$13)*(1+BG$14),1)</f>
        <v/>
      </c>
      <c r="BH28" s="48">
        <f>BG28*(1+BH$10)*(1-BH$11)*IF(MOD((2+BH$7),12)=0,IF((2+BH$7)=12,BH$12,BH$13)*(1+BH$14),1)</f>
        <v/>
      </c>
      <c r="BI28" s="48">
        <f>BH28*(1+BI$10)*(1-BI$11)*IF(MOD((2+BI$7),12)=0,IF((2+BI$7)=12,BI$12,BI$13)*(1+BI$14),1)</f>
        <v/>
      </c>
      <c r="BJ28" s="48">
        <f>BI28*(1+BJ$10)*(1-BJ$11)*IF(MOD((2+BJ$7),12)=0,IF((2+BJ$7)=12,BJ$12,BJ$13)*(1+BJ$14),1)</f>
        <v/>
      </c>
      <c r="BK28" s="48">
        <f>BJ28*(1+BK$10)*(1-BK$11)*IF(MOD((2+BK$7),12)=0,IF((2+BK$7)=12,BK$12,BK$13)*(1+BK$14),1)</f>
        <v/>
      </c>
    </row>
    <row r="29" hidden="1" outlineLevel="1">
      <c r="B29" s="18" t="inlineStr">
        <is>
          <t xml:space="preserve">    Opening slice, age 1 months at start</t>
        </is>
      </c>
      <c r="C29" s="19" t="inlineStr">
        <is>
          <t>$</t>
        </is>
      </c>
      <c r="D29" s="48">
        <f>Inputs!$D$15/12*(1+D$10)*(1-D$11)*IF(MOD((1+D$7),12)=0,IF((1+D$7)=12,D$12,D$13)*(1+D$14),1)</f>
        <v/>
      </c>
      <c r="E29" s="48">
        <f>D29*(1+E$10)*(1-E$11)*IF(MOD((1+E$7),12)=0,IF((1+E$7)=12,E$12,E$13)*(1+E$14),1)</f>
        <v/>
      </c>
      <c r="F29" s="48">
        <f>E29*(1+F$10)*(1-F$11)*IF(MOD((1+F$7),12)=0,IF((1+F$7)=12,F$12,F$13)*(1+F$14),1)</f>
        <v/>
      </c>
      <c r="G29" s="48">
        <f>F29*(1+G$10)*(1-G$11)*IF(MOD((1+G$7),12)=0,IF((1+G$7)=12,G$12,G$13)*(1+G$14),1)</f>
        <v/>
      </c>
      <c r="H29" s="48">
        <f>G29*(1+H$10)*(1-H$11)*IF(MOD((1+H$7),12)=0,IF((1+H$7)=12,H$12,H$13)*(1+H$14),1)</f>
        <v/>
      </c>
      <c r="I29" s="48">
        <f>H29*(1+I$10)*(1-I$11)*IF(MOD((1+I$7),12)=0,IF((1+I$7)=12,I$12,I$13)*(1+I$14),1)</f>
        <v/>
      </c>
      <c r="J29" s="48">
        <f>I29*(1+J$10)*(1-J$11)*IF(MOD((1+J$7),12)=0,IF((1+J$7)=12,J$12,J$13)*(1+J$14),1)</f>
        <v/>
      </c>
      <c r="K29" s="48">
        <f>J29*(1+K$10)*(1-K$11)*IF(MOD((1+K$7),12)=0,IF((1+K$7)=12,K$12,K$13)*(1+K$14),1)</f>
        <v/>
      </c>
      <c r="L29" s="48">
        <f>K29*(1+L$10)*(1-L$11)*IF(MOD((1+L$7),12)=0,IF((1+L$7)=12,L$12,L$13)*(1+L$14),1)</f>
        <v/>
      </c>
      <c r="M29" s="48">
        <f>L29*(1+M$10)*(1-M$11)*IF(MOD((1+M$7),12)=0,IF((1+M$7)=12,M$12,M$13)*(1+M$14),1)</f>
        <v/>
      </c>
      <c r="N29" s="48">
        <f>M29*(1+N$10)*(1-N$11)*IF(MOD((1+N$7),12)=0,IF((1+N$7)=12,N$12,N$13)*(1+N$14),1)</f>
        <v/>
      </c>
      <c r="O29" s="48">
        <f>N29*(1+O$10)*(1-O$11)*IF(MOD((1+O$7),12)=0,IF((1+O$7)=12,O$12,O$13)*(1+O$14),1)</f>
        <v/>
      </c>
      <c r="P29" s="48">
        <f>O29*(1+P$10)*(1-P$11)*IF(MOD((1+P$7),12)=0,IF((1+P$7)=12,P$12,P$13)*(1+P$14),1)</f>
        <v/>
      </c>
      <c r="Q29" s="48">
        <f>P29*(1+Q$10)*(1-Q$11)*IF(MOD((1+Q$7),12)=0,IF((1+Q$7)=12,Q$12,Q$13)*(1+Q$14),1)</f>
        <v/>
      </c>
      <c r="R29" s="48">
        <f>Q29*(1+R$10)*(1-R$11)*IF(MOD((1+R$7),12)=0,IF((1+R$7)=12,R$12,R$13)*(1+R$14),1)</f>
        <v/>
      </c>
      <c r="S29" s="48">
        <f>R29*(1+S$10)*(1-S$11)*IF(MOD((1+S$7),12)=0,IF((1+S$7)=12,S$12,S$13)*(1+S$14),1)</f>
        <v/>
      </c>
      <c r="T29" s="48">
        <f>S29*(1+T$10)*(1-T$11)*IF(MOD((1+T$7),12)=0,IF((1+T$7)=12,T$12,T$13)*(1+T$14),1)</f>
        <v/>
      </c>
      <c r="U29" s="48">
        <f>T29*(1+U$10)*(1-U$11)*IF(MOD((1+U$7),12)=0,IF((1+U$7)=12,U$12,U$13)*(1+U$14),1)</f>
        <v/>
      </c>
      <c r="V29" s="48">
        <f>U29*(1+V$10)*(1-V$11)*IF(MOD((1+V$7),12)=0,IF((1+V$7)=12,V$12,V$13)*(1+V$14),1)</f>
        <v/>
      </c>
      <c r="W29" s="48">
        <f>V29*(1+W$10)*(1-W$11)*IF(MOD((1+W$7),12)=0,IF((1+W$7)=12,W$12,W$13)*(1+W$14),1)</f>
        <v/>
      </c>
      <c r="X29" s="48">
        <f>W29*(1+X$10)*(1-X$11)*IF(MOD((1+X$7),12)=0,IF((1+X$7)=12,X$12,X$13)*(1+X$14),1)</f>
        <v/>
      </c>
      <c r="Y29" s="48">
        <f>X29*(1+Y$10)*(1-Y$11)*IF(MOD((1+Y$7),12)=0,IF((1+Y$7)=12,Y$12,Y$13)*(1+Y$14),1)</f>
        <v/>
      </c>
      <c r="Z29" s="48">
        <f>Y29*(1+Z$10)*(1-Z$11)*IF(MOD((1+Z$7),12)=0,IF((1+Z$7)=12,Z$12,Z$13)*(1+Z$14),1)</f>
        <v/>
      </c>
      <c r="AA29" s="48">
        <f>Z29*(1+AA$10)*(1-AA$11)*IF(MOD((1+AA$7),12)=0,IF((1+AA$7)=12,AA$12,AA$13)*(1+AA$14),1)</f>
        <v/>
      </c>
      <c r="AB29" s="48">
        <f>AA29*(1+AB$10)*(1-AB$11)*IF(MOD((1+AB$7),12)=0,IF((1+AB$7)=12,AB$12,AB$13)*(1+AB$14),1)</f>
        <v/>
      </c>
      <c r="AC29" s="48">
        <f>AB29*(1+AC$10)*(1-AC$11)*IF(MOD((1+AC$7),12)=0,IF((1+AC$7)=12,AC$12,AC$13)*(1+AC$14),1)</f>
        <v/>
      </c>
      <c r="AD29" s="48">
        <f>AC29*(1+AD$10)*(1-AD$11)*IF(MOD((1+AD$7),12)=0,IF((1+AD$7)=12,AD$12,AD$13)*(1+AD$14),1)</f>
        <v/>
      </c>
      <c r="AE29" s="48">
        <f>AD29*(1+AE$10)*(1-AE$11)*IF(MOD((1+AE$7),12)=0,IF((1+AE$7)=12,AE$12,AE$13)*(1+AE$14),1)</f>
        <v/>
      </c>
      <c r="AF29" s="48">
        <f>AE29*(1+AF$10)*(1-AF$11)*IF(MOD((1+AF$7),12)=0,IF((1+AF$7)=12,AF$12,AF$13)*(1+AF$14),1)</f>
        <v/>
      </c>
      <c r="AG29" s="48">
        <f>AF29*(1+AG$10)*(1-AG$11)*IF(MOD((1+AG$7),12)=0,IF((1+AG$7)=12,AG$12,AG$13)*(1+AG$14),1)</f>
        <v/>
      </c>
      <c r="AH29" s="48">
        <f>AG29*(1+AH$10)*(1-AH$11)*IF(MOD((1+AH$7),12)=0,IF((1+AH$7)=12,AH$12,AH$13)*(1+AH$14),1)</f>
        <v/>
      </c>
      <c r="AI29" s="48">
        <f>AH29*(1+AI$10)*(1-AI$11)*IF(MOD((1+AI$7),12)=0,IF((1+AI$7)=12,AI$12,AI$13)*(1+AI$14),1)</f>
        <v/>
      </c>
      <c r="AJ29" s="48">
        <f>AI29*(1+AJ$10)*(1-AJ$11)*IF(MOD((1+AJ$7),12)=0,IF((1+AJ$7)=12,AJ$12,AJ$13)*(1+AJ$14),1)</f>
        <v/>
      </c>
      <c r="AK29" s="48">
        <f>AJ29*(1+AK$10)*(1-AK$11)*IF(MOD((1+AK$7),12)=0,IF((1+AK$7)=12,AK$12,AK$13)*(1+AK$14),1)</f>
        <v/>
      </c>
      <c r="AL29" s="48">
        <f>AK29*(1+AL$10)*(1-AL$11)*IF(MOD((1+AL$7),12)=0,IF((1+AL$7)=12,AL$12,AL$13)*(1+AL$14),1)</f>
        <v/>
      </c>
      <c r="AM29" s="48">
        <f>AL29*(1+AM$10)*(1-AM$11)*IF(MOD((1+AM$7),12)=0,IF((1+AM$7)=12,AM$12,AM$13)*(1+AM$14),1)</f>
        <v/>
      </c>
      <c r="AN29" s="48">
        <f>AM29*(1+AN$10)*(1-AN$11)*IF(MOD((1+AN$7),12)=0,IF((1+AN$7)=12,AN$12,AN$13)*(1+AN$14),1)</f>
        <v/>
      </c>
      <c r="AO29" s="48">
        <f>AN29*(1+AO$10)*(1-AO$11)*IF(MOD((1+AO$7),12)=0,IF((1+AO$7)=12,AO$12,AO$13)*(1+AO$14),1)</f>
        <v/>
      </c>
      <c r="AP29" s="48">
        <f>AO29*(1+AP$10)*(1-AP$11)*IF(MOD((1+AP$7),12)=0,IF((1+AP$7)=12,AP$12,AP$13)*(1+AP$14),1)</f>
        <v/>
      </c>
      <c r="AQ29" s="48">
        <f>AP29*(1+AQ$10)*(1-AQ$11)*IF(MOD((1+AQ$7),12)=0,IF((1+AQ$7)=12,AQ$12,AQ$13)*(1+AQ$14),1)</f>
        <v/>
      </c>
      <c r="AR29" s="48">
        <f>AQ29*(1+AR$10)*(1-AR$11)*IF(MOD((1+AR$7),12)=0,IF((1+AR$7)=12,AR$12,AR$13)*(1+AR$14),1)</f>
        <v/>
      </c>
      <c r="AS29" s="48">
        <f>AR29*(1+AS$10)*(1-AS$11)*IF(MOD((1+AS$7),12)=0,IF((1+AS$7)=12,AS$12,AS$13)*(1+AS$14),1)</f>
        <v/>
      </c>
      <c r="AT29" s="48">
        <f>AS29*(1+AT$10)*(1-AT$11)*IF(MOD((1+AT$7),12)=0,IF((1+AT$7)=12,AT$12,AT$13)*(1+AT$14),1)</f>
        <v/>
      </c>
      <c r="AU29" s="48">
        <f>AT29*(1+AU$10)*(1-AU$11)*IF(MOD((1+AU$7),12)=0,IF((1+AU$7)=12,AU$12,AU$13)*(1+AU$14),1)</f>
        <v/>
      </c>
      <c r="AV29" s="48">
        <f>AU29*(1+AV$10)*(1-AV$11)*IF(MOD((1+AV$7),12)=0,IF((1+AV$7)=12,AV$12,AV$13)*(1+AV$14),1)</f>
        <v/>
      </c>
      <c r="AW29" s="48">
        <f>AV29*(1+AW$10)*(1-AW$11)*IF(MOD((1+AW$7),12)=0,IF((1+AW$7)=12,AW$12,AW$13)*(1+AW$14),1)</f>
        <v/>
      </c>
      <c r="AX29" s="48">
        <f>AW29*(1+AX$10)*(1-AX$11)*IF(MOD((1+AX$7),12)=0,IF((1+AX$7)=12,AX$12,AX$13)*(1+AX$14),1)</f>
        <v/>
      </c>
      <c r="AY29" s="48">
        <f>AX29*(1+AY$10)*(1-AY$11)*IF(MOD((1+AY$7),12)=0,IF((1+AY$7)=12,AY$12,AY$13)*(1+AY$14),1)</f>
        <v/>
      </c>
      <c r="AZ29" s="48">
        <f>AY29*(1+AZ$10)*(1-AZ$11)*IF(MOD((1+AZ$7),12)=0,IF((1+AZ$7)=12,AZ$12,AZ$13)*(1+AZ$14),1)</f>
        <v/>
      </c>
      <c r="BA29" s="48">
        <f>AZ29*(1+BA$10)*(1-BA$11)*IF(MOD((1+BA$7),12)=0,IF((1+BA$7)=12,BA$12,BA$13)*(1+BA$14),1)</f>
        <v/>
      </c>
      <c r="BB29" s="48">
        <f>BA29*(1+BB$10)*(1-BB$11)*IF(MOD((1+BB$7),12)=0,IF((1+BB$7)=12,BB$12,BB$13)*(1+BB$14),1)</f>
        <v/>
      </c>
      <c r="BC29" s="48">
        <f>BB29*(1+BC$10)*(1-BC$11)*IF(MOD((1+BC$7),12)=0,IF((1+BC$7)=12,BC$12,BC$13)*(1+BC$14),1)</f>
        <v/>
      </c>
      <c r="BD29" s="48">
        <f>BC29*(1+BD$10)*(1-BD$11)*IF(MOD((1+BD$7),12)=0,IF((1+BD$7)=12,BD$12,BD$13)*(1+BD$14),1)</f>
        <v/>
      </c>
      <c r="BE29" s="48">
        <f>BD29*(1+BE$10)*(1-BE$11)*IF(MOD((1+BE$7),12)=0,IF((1+BE$7)=12,BE$12,BE$13)*(1+BE$14),1)</f>
        <v/>
      </c>
      <c r="BF29" s="48">
        <f>BE29*(1+BF$10)*(1-BF$11)*IF(MOD((1+BF$7),12)=0,IF((1+BF$7)=12,BF$12,BF$13)*(1+BF$14),1)</f>
        <v/>
      </c>
      <c r="BG29" s="48">
        <f>BF29*(1+BG$10)*(1-BG$11)*IF(MOD((1+BG$7),12)=0,IF((1+BG$7)=12,BG$12,BG$13)*(1+BG$14),1)</f>
        <v/>
      </c>
      <c r="BH29" s="48">
        <f>BG29*(1+BH$10)*(1-BH$11)*IF(MOD((1+BH$7),12)=0,IF((1+BH$7)=12,BH$12,BH$13)*(1+BH$14),1)</f>
        <v/>
      </c>
      <c r="BI29" s="48">
        <f>BH29*(1+BI$10)*(1-BI$11)*IF(MOD((1+BI$7),12)=0,IF((1+BI$7)=12,BI$12,BI$13)*(1+BI$14),1)</f>
        <v/>
      </c>
      <c r="BJ29" s="48">
        <f>BI29*(1+BJ$10)*(1-BJ$11)*IF(MOD((1+BJ$7),12)=0,IF((1+BJ$7)=12,BJ$12,BJ$13)*(1+BJ$14),1)</f>
        <v/>
      </c>
      <c r="BK29" s="48">
        <f>BJ29*(1+BK$10)*(1-BK$11)*IF(MOD((1+BK$7),12)=0,IF((1+BK$7)=12,BK$12,BK$13)*(1+BK$14),1)</f>
        <v/>
      </c>
    </row>
    <row r="30" collapsed="1">
      <c r="B30" s="26" t="inlineStr">
        <is>
          <t>New cohorts, one per month of origination</t>
        </is>
      </c>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7" t="n"/>
      <c r="BA30" s="27" t="n"/>
      <c r="BB30" s="27" t="n"/>
      <c r="BC30" s="27" t="n"/>
      <c r="BD30" s="27" t="n"/>
      <c r="BE30" s="27" t="n"/>
      <c r="BF30" s="27" t="n"/>
      <c r="BG30" s="27" t="n"/>
      <c r="BH30" s="27" t="n"/>
      <c r="BI30" s="27" t="n"/>
      <c r="BJ30" s="27" t="n"/>
      <c r="BK30" s="27" t="n"/>
      <c r="BL30" s="27" t="n"/>
      <c r="BM30" s="27" t="n"/>
      <c r="BN30" s="27" t="n"/>
      <c r="BO30" s="27" t="n"/>
      <c r="BP30" s="27" t="n"/>
      <c r="BQ30" s="27" t="n"/>
    </row>
    <row r="31" hidden="1" outlineLevel="1">
      <c r="B31" s="18" t="inlineStr">
        <is>
          <t xml:space="preserve">    Cohort Jan-26</t>
        </is>
      </c>
      <c r="C31" s="19" t="inlineStr">
        <is>
          <t>$</t>
        </is>
      </c>
      <c r="D31" s="48">
        <f>'Rev-Capacity'!D29</f>
        <v/>
      </c>
      <c r="E31" s="48">
        <f>D31*(1+E$10)*(1-E$11)*IF(MOD((E$7-1),12)=0,IF((E$7-1)=12,E$12,E$13)*(1+E$14),1)</f>
        <v/>
      </c>
      <c r="F31" s="48">
        <f>E31*(1+F$10)*(1-F$11)*IF(MOD((F$7-1),12)=0,IF((F$7-1)=12,F$12,F$13)*(1+F$14),1)</f>
        <v/>
      </c>
      <c r="G31" s="48">
        <f>F31*(1+G$10)*(1-G$11)*IF(MOD((G$7-1),12)=0,IF((G$7-1)=12,G$12,G$13)*(1+G$14),1)</f>
        <v/>
      </c>
      <c r="H31" s="48">
        <f>G31*(1+H$10)*(1-H$11)*IF(MOD((H$7-1),12)=0,IF((H$7-1)=12,H$12,H$13)*(1+H$14),1)</f>
        <v/>
      </c>
      <c r="I31" s="48">
        <f>H31*(1+I$10)*(1-I$11)*IF(MOD((I$7-1),12)=0,IF((I$7-1)=12,I$12,I$13)*(1+I$14),1)</f>
        <v/>
      </c>
      <c r="J31" s="48">
        <f>I31*(1+J$10)*(1-J$11)*IF(MOD((J$7-1),12)=0,IF((J$7-1)=12,J$12,J$13)*(1+J$14),1)</f>
        <v/>
      </c>
      <c r="K31" s="48">
        <f>J31*(1+K$10)*(1-K$11)*IF(MOD((K$7-1),12)=0,IF((K$7-1)=12,K$12,K$13)*(1+K$14),1)</f>
        <v/>
      </c>
      <c r="L31" s="48">
        <f>K31*(1+L$10)*(1-L$11)*IF(MOD((L$7-1),12)=0,IF((L$7-1)=12,L$12,L$13)*(1+L$14),1)</f>
        <v/>
      </c>
      <c r="M31" s="48">
        <f>L31*(1+M$10)*(1-M$11)*IF(MOD((M$7-1),12)=0,IF((M$7-1)=12,M$12,M$13)*(1+M$14),1)</f>
        <v/>
      </c>
      <c r="N31" s="48">
        <f>M31*(1+N$10)*(1-N$11)*IF(MOD((N$7-1),12)=0,IF((N$7-1)=12,N$12,N$13)*(1+N$14),1)</f>
        <v/>
      </c>
      <c r="O31" s="48">
        <f>N31*(1+O$10)*(1-O$11)*IF(MOD((O$7-1),12)=0,IF((O$7-1)=12,O$12,O$13)*(1+O$14),1)</f>
        <v/>
      </c>
      <c r="P31" s="48">
        <f>O31*(1+P$10)*(1-P$11)*IF(MOD((P$7-1),12)=0,IF((P$7-1)=12,P$12,P$13)*(1+P$14),1)</f>
        <v/>
      </c>
      <c r="Q31" s="48">
        <f>P31*(1+Q$10)*(1-Q$11)*IF(MOD((Q$7-1),12)=0,IF((Q$7-1)=12,Q$12,Q$13)*(1+Q$14),1)</f>
        <v/>
      </c>
      <c r="R31" s="48">
        <f>Q31*(1+R$10)*(1-R$11)*IF(MOD((R$7-1),12)=0,IF((R$7-1)=12,R$12,R$13)*(1+R$14),1)</f>
        <v/>
      </c>
      <c r="S31" s="48">
        <f>R31*(1+S$10)*(1-S$11)*IF(MOD((S$7-1),12)=0,IF((S$7-1)=12,S$12,S$13)*(1+S$14),1)</f>
        <v/>
      </c>
      <c r="T31" s="48">
        <f>S31*(1+T$10)*(1-T$11)*IF(MOD((T$7-1),12)=0,IF((T$7-1)=12,T$12,T$13)*(1+T$14),1)</f>
        <v/>
      </c>
      <c r="U31" s="48">
        <f>T31*(1+U$10)*(1-U$11)*IF(MOD((U$7-1),12)=0,IF((U$7-1)=12,U$12,U$13)*(1+U$14),1)</f>
        <v/>
      </c>
      <c r="V31" s="48">
        <f>U31*(1+V$10)*(1-V$11)*IF(MOD((V$7-1),12)=0,IF((V$7-1)=12,V$12,V$13)*(1+V$14),1)</f>
        <v/>
      </c>
      <c r="W31" s="48">
        <f>V31*(1+W$10)*(1-W$11)*IF(MOD((W$7-1),12)=0,IF((W$7-1)=12,W$12,W$13)*(1+W$14),1)</f>
        <v/>
      </c>
      <c r="X31" s="48">
        <f>W31*(1+X$10)*(1-X$11)*IF(MOD((X$7-1),12)=0,IF((X$7-1)=12,X$12,X$13)*(1+X$14),1)</f>
        <v/>
      </c>
      <c r="Y31" s="48">
        <f>X31*(1+Y$10)*(1-Y$11)*IF(MOD((Y$7-1),12)=0,IF((Y$7-1)=12,Y$12,Y$13)*(1+Y$14),1)</f>
        <v/>
      </c>
      <c r="Z31" s="48">
        <f>Y31*(1+Z$10)*(1-Z$11)*IF(MOD((Z$7-1),12)=0,IF((Z$7-1)=12,Z$12,Z$13)*(1+Z$14),1)</f>
        <v/>
      </c>
      <c r="AA31" s="48">
        <f>Z31*(1+AA$10)*(1-AA$11)*IF(MOD((AA$7-1),12)=0,IF((AA$7-1)=12,AA$12,AA$13)*(1+AA$14),1)</f>
        <v/>
      </c>
      <c r="AB31" s="48">
        <f>AA31*(1+AB$10)*(1-AB$11)*IF(MOD((AB$7-1),12)=0,IF((AB$7-1)=12,AB$12,AB$13)*(1+AB$14),1)</f>
        <v/>
      </c>
      <c r="AC31" s="48">
        <f>AB31*(1+AC$10)*(1-AC$11)*IF(MOD((AC$7-1),12)=0,IF((AC$7-1)=12,AC$12,AC$13)*(1+AC$14),1)</f>
        <v/>
      </c>
      <c r="AD31" s="48">
        <f>AC31*(1+AD$10)*(1-AD$11)*IF(MOD((AD$7-1),12)=0,IF((AD$7-1)=12,AD$12,AD$13)*(1+AD$14),1)</f>
        <v/>
      </c>
      <c r="AE31" s="48">
        <f>AD31*(1+AE$10)*(1-AE$11)*IF(MOD((AE$7-1),12)=0,IF((AE$7-1)=12,AE$12,AE$13)*(1+AE$14),1)</f>
        <v/>
      </c>
      <c r="AF31" s="48">
        <f>AE31*(1+AF$10)*(1-AF$11)*IF(MOD((AF$7-1),12)=0,IF((AF$7-1)=12,AF$12,AF$13)*(1+AF$14),1)</f>
        <v/>
      </c>
      <c r="AG31" s="48">
        <f>AF31*(1+AG$10)*(1-AG$11)*IF(MOD((AG$7-1),12)=0,IF((AG$7-1)=12,AG$12,AG$13)*(1+AG$14),1)</f>
        <v/>
      </c>
      <c r="AH31" s="48">
        <f>AG31*(1+AH$10)*(1-AH$11)*IF(MOD((AH$7-1),12)=0,IF((AH$7-1)=12,AH$12,AH$13)*(1+AH$14),1)</f>
        <v/>
      </c>
      <c r="AI31" s="48">
        <f>AH31*(1+AI$10)*(1-AI$11)*IF(MOD((AI$7-1),12)=0,IF((AI$7-1)=12,AI$12,AI$13)*(1+AI$14),1)</f>
        <v/>
      </c>
      <c r="AJ31" s="48">
        <f>AI31*(1+AJ$10)*(1-AJ$11)*IF(MOD((AJ$7-1),12)=0,IF((AJ$7-1)=12,AJ$12,AJ$13)*(1+AJ$14),1)</f>
        <v/>
      </c>
      <c r="AK31" s="48">
        <f>AJ31*(1+AK$10)*(1-AK$11)*IF(MOD((AK$7-1),12)=0,IF((AK$7-1)=12,AK$12,AK$13)*(1+AK$14),1)</f>
        <v/>
      </c>
      <c r="AL31" s="48">
        <f>AK31*(1+AL$10)*(1-AL$11)*IF(MOD((AL$7-1),12)=0,IF((AL$7-1)=12,AL$12,AL$13)*(1+AL$14),1)</f>
        <v/>
      </c>
      <c r="AM31" s="48">
        <f>AL31*(1+AM$10)*(1-AM$11)*IF(MOD((AM$7-1),12)=0,IF((AM$7-1)=12,AM$12,AM$13)*(1+AM$14),1)</f>
        <v/>
      </c>
      <c r="AN31" s="48">
        <f>AM31*(1+AN$10)*(1-AN$11)*IF(MOD((AN$7-1),12)=0,IF((AN$7-1)=12,AN$12,AN$13)*(1+AN$14),1)</f>
        <v/>
      </c>
      <c r="AO31" s="48">
        <f>AN31*(1+AO$10)*(1-AO$11)*IF(MOD((AO$7-1),12)=0,IF((AO$7-1)=12,AO$12,AO$13)*(1+AO$14),1)</f>
        <v/>
      </c>
      <c r="AP31" s="48">
        <f>AO31*(1+AP$10)*(1-AP$11)*IF(MOD((AP$7-1),12)=0,IF((AP$7-1)=12,AP$12,AP$13)*(1+AP$14),1)</f>
        <v/>
      </c>
      <c r="AQ31" s="48">
        <f>AP31*(1+AQ$10)*(1-AQ$11)*IF(MOD((AQ$7-1),12)=0,IF((AQ$7-1)=12,AQ$12,AQ$13)*(1+AQ$14),1)</f>
        <v/>
      </c>
      <c r="AR31" s="48">
        <f>AQ31*(1+AR$10)*(1-AR$11)*IF(MOD((AR$7-1),12)=0,IF((AR$7-1)=12,AR$12,AR$13)*(1+AR$14),1)</f>
        <v/>
      </c>
      <c r="AS31" s="48">
        <f>AR31*(1+AS$10)*(1-AS$11)*IF(MOD((AS$7-1),12)=0,IF((AS$7-1)=12,AS$12,AS$13)*(1+AS$14),1)</f>
        <v/>
      </c>
      <c r="AT31" s="48">
        <f>AS31*(1+AT$10)*(1-AT$11)*IF(MOD((AT$7-1),12)=0,IF((AT$7-1)=12,AT$12,AT$13)*(1+AT$14),1)</f>
        <v/>
      </c>
      <c r="AU31" s="48">
        <f>AT31*(1+AU$10)*(1-AU$11)*IF(MOD((AU$7-1),12)=0,IF((AU$7-1)=12,AU$12,AU$13)*(1+AU$14),1)</f>
        <v/>
      </c>
      <c r="AV31" s="48">
        <f>AU31*(1+AV$10)*(1-AV$11)*IF(MOD((AV$7-1),12)=0,IF((AV$7-1)=12,AV$12,AV$13)*(1+AV$14),1)</f>
        <v/>
      </c>
      <c r="AW31" s="48">
        <f>AV31*(1+AW$10)*(1-AW$11)*IF(MOD((AW$7-1),12)=0,IF((AW$7-1)=12,AW$12,AW$13)*(1+AW$14),1)</f>
        <v/>
      </c>
      <c r="AX31" s="48">
        <f>AW31*(1+AX$10)*(1-AX$11)*IF(MOD((AX$7-1),12)=0,IF((AX$7-1)=12,AX$12,AX$13)*(1+AX$14),1)</f>
        <v/>
      </c>
      <c r="AY31" s="48">
        <f>AX31*(1+AY$10)*(1-AY$11)*IF(MOD((AY$7-1),12)=0,IF((AY$7-1)=12,AY$12,AY$13)*(1+AY$14),1)</f>
        <v/>
      </c>
      <c r="AZ31" s="48">
        <f>AY31*(1+AZ$10)*(1-AZ$11)*IF(MOD((AZ$7-1),12)=0,IF((AZ$7-1)=12,AZ$12,AZ$13)*(1+AZ$14),1)</f>
        <v/>
      </c>
      <c r="BA31" s="48">
        <f>AZ31*(1+BA$10)*(1-BA$11)*IF(MOD((BA$7-1),12)=0,IF((BA$7-1)=12,BA$12,BA$13)*(1+BA$14),1)</f>
        <v/>
      </c>
      <c r="BB31" s="48">
        <f>BA31*(1+BB$10)*(1-BB$11)*IF(MOD((BB$7-1),12)=0,IF((BB$7-1)=12,BB$12,BB$13)*(1+BB$14),1)</f>
        <v/>
      </c>
      <c r="BC31" s="48">
        <f>BB31*(1+BC$10)*(1-BC$11)*IF(MOD((BC$7-1),12)=0,IF((BC$7-1)=12,BC$12,BC$13)*(1+BC$14),1)</f>
        <v/>
      </c>
      <c r="BD31" s="48">
        <f>BC31*(1+BD$10)*(1-BD$11)*IF(MOD((BD$7-1),12)=0,IF((BD$7-1)=12,BD$12,BD$13)*(1+BD$14),1)</f>
        <v/>
      </c>
      <c r="BE31" s="48">
        <f>BD31*(1+BE$10)*(1-BE$11)*IF(MOD((BE$7-1),12)=0,IF((BE$7-1)=12,BE$12,BE$13)*(1+BE$14),1)</f>
        <v/>
      </c>
      <c r="BF31" s="48">
        <f>BE31*(1+BF$10)*(1-BF$11)*IF(MOD((BF$7-1),12)=0,IF((BF$7-1)=12,BF$12,BF$13)*(1+BF$14),1)</f>
        <v/>
      </c>
      <c r="BG31" s="48">
        <f>BF31*(1+BG$10)*(1-BG$11)*IF(MOD((BG$7-1),12)=0,IF((BG$7-1)=12,BG$12,BG$13)*(1+BG$14),1)</f>
        <v/>
      </c>
      <c r="BH31" s="48">
        <f>BG31*(1+BH$10)*(1-BH$11)*IF(MOD((BH$7-1),12)=0,IF((BH$7-1)=12,BH$12,BH$13)*(1+BH$14),1)</f>
        <v/>
      </c>
      <c r="BI31" s="48">
        <f>BH31*(1+BI$10)*(1-BI$11)*IF(MOD((BI$7-1),12)=0,IF((BI$7-1)=12,BI$12,BI$13)*(1+BI$14),1)</f>
        <v/>
      </c>
      <c r="BJ31" s="48">
        <f>BI31*(1+BJ$10)*(1-BJ$11)*IF(MOD((BJ$7-1),12)=0,IF((BJ$7-1)=12,BJ$12,BJ$13)*(1+BJ$14),1)</f>
        <v/>
      </c>
      <c r="BK31" s="48">
        <f>BJ31*(1+BK$10)*(1-BK$11)*IF(MOD((BK$7-1),12)=0,IF((BK$7-1)=12,BK$12,BK$13)*(1+BK$14),1)</f>
        <v/>
      </c>
    </row>
    <row r="32" hidden="1" outlineLevel="1">
      <c r="B32" s="18" t="inlineStr">
        <is>
          <t xml:space="preserve">    Cohort Feb-26</t>
        </is>
      </c>
      <c r="C32" s="19" t="inlineStr">
        <is>
          <t>$</t>
        </is>
      </c>
      <c r="D32" s="48">
        <f>0</f>
        <v/>
      </c>
      <c r="E32" s="48">
        <f>'Rev-Capacity'!E29</f>
        <v/>
      </c>
      <c r="F32" s="48">
        <f>E32*(1+F$10)*(1-F$11)*IF(MOD((F$7-2),12)=0,IF((F$7-2)=12,F$12,F$13)*(1+F$14),1)</f>
        <v/>
      </c>
      <c r="G32" s="48">
        <f>F32*(1+G$10)*(1-G$11)*IF(MOD((G$7-2),12)=0,IF((G$7-2)=12,G$12,G$13)*(1+G$14),1)</f>
        <v/>
      </c>
      <c r="H32" s="48">
        <f>G32*(1+H$10)*(1-H$11)*IF(MOD((H$7-2),12)=0,IF((H$7-2)=12,H$12,H$13)*(1+H$14),1)</f>
        <v/>
      </c>
      <c r="I32" s="48">
        <f>H32*(1+I$10)*(1-I$11)*IF(MOD((I$7-2),12)=0,IF((I$7-2)=12,I$12,I$13)*(1+I$14),1)</f>
        <v/>
      </c>
      <c r="J32" s="48">
        <f>I32*(1+J$10)*(1-J$11)*IF(MOD((J$7-2),12)=0,IF((J$7-2)=12,J$12,J$13)*(1+J$14),1)</f>
        <v/>
      </c>
      <c r="K32" s="48">
        <f>J32*(1+K$10)*(1-K$11)*IF(MOD((K$7-2),12)=0,IF((K$7-2)=12,K$12,K$13)*(1+K$14),1)</f>
        <v/>
      </c>
      <c r="L32" s="48">
        <f>K32*(1+L$10)*(1-L$11)*IF(MOD((L$7-2),12)=0,IF((L$7-2)=12,L$12,L$13)*(1+L$14),1)</f>
        <v/>
      </c>
      <c r="M32" s="48">
        <f>L32*(1+M$10)*(1-M$11)*IF(MOD((M$7-2),12)=0,IF((M$7-2)=12,M$12,M$13)*(1+M$14),1)</f>
        <v/>
      </c>
      <c r="N32" s="48">
        <f>M32*(1+N$10)*(1-N$11)*IF(MOD((N$7-2),12)=0,IF((N$7-2)=12,N$12,N$13)*(1+N$14),1)</f>
        <v/>
      </c>
      <c r="O32" s="48">
        <f>N32*(1+O$10)*(1-O$11)*IF(MOD((O$7-2),12)=0,IF((O$7-2)=12,O$12,O$13)*(1+O$14),1)</f>
        <v/>
      </c>
      <c r="P32" s="48">
        <f>O32*(1+P$10)*(1-P$11)*IF(MOD((P$7-2),12)=0,IF((P$7-2)=12,P$12,P$13)*(1+P$14),1)</f>
        <v/>
      </c>
      <c r="Q32" s="48">
        <f>P32*(1+Q$10)*(1-Q$11)*IF(MOD((Q$7-2),12)=0,IF((Q$7-2)=12,Q$12,Q$13)*(1+Q$14),1)</f>
        <v/>
      </c>
      <c r="R32" s="48">
        <f>Q32*(1+R$10)*(1-R$11)*IF(MOD((R$7-2),12)=0,IF((R$7-2)=12,R$12,R$13)*(1+R$14),1)</f>
        <v/>
      </c>
      <c r="S32" s="48">
        <f>R32*(1+S$10)*(1-S$11)*IF(MOD((S$7-2),12)=0,IF((S$7-2)=12,S$12,S$13)*(1+S$14),1)</f>
        <v/>
      </c>
      <c r="T32" s="48">
        <f>S32*(1+T$10)*(1-T$11)*IF(MOD((T$7-2),12)=0,IF((T$7-2)=12,T$12,T$13)*(1+T$14),1)</f>
        <v/>
      </c>
      <c r="U32" s="48">
        <f>T32*(1+U$10)*(1-U$11)*IF(MOD((U$7-2),12)=0,IF((U$7-2)=12,U$12,U$13)*(1+U$14),1)</f>
        <v/>
      </c>
      <c r="V32" s="48">
        <f>U32*(1+V$10)*(1-V$11)*IF(MOD((V$7-2),12)=0,IF((V$7-2)=12,V$12,V$13)*(1+V$14),1)</f>
        <v/>
      </c>
      <c r="W32" s="48">
        <f>V32*(1+W$10)*(1-W$11)*IF(MOD((W$7-2),12)=0,IF((W$7-2)=12,W$12,W$13)*(1+W$14),1)</f>
        <v/>
      </c>
      <c r="X32" s="48">
        <f>W32*(1+X$10)*(1-X$11)*IF(MOD((X$7-2),12)=0,IF((X$7-2)=12,X$12,X$13)*(1+X$14),1)</f>
        <v/>
      </c>
      <c r="Y32" s="48">
        <f>X32*(1+Y$10)*(1-Y$11)*IF(MOD((Y$7-2),12)=0,IF((Y$7-2)=12,Y$12,Y$13)*(1+Y$14),1)</f>
        <v/>
      </c>
      <c r="Z32" s="48">
        <f>Y32*(1+Z$10)*(1-Z$11)*IF(MOD((Z$7-2),12)=0,IF((Z$7-2)=12,Z$12,Z$13)*(1+Z$14),1)</f>
        <v/>
      </c>
      <c r="AA32" s="48">
        <f>Z32*(1+AA$10)*(1-AA$11)*IF(MOD((AA$7-2),12)=0,IF((AA$7-2)=12,AA$12,AA$13)*(1+AA$14),1)</f>
        <v/>
      </c>
      <c r="AB32" s="48">
        <f>AA32*(1+AB$10)*(1-AB$11)*IF(MOD((AB$7-2),12)=0,IF((AB$7-2)=12,AB$12,AB$13)*(1+AB$14),1)</f>
        <v/>
      </c>
      <c r="AC32" s="48">
        <f>AB32*(1+AC$10)*(1-AC$11)*IF(MOD((AC$7-2),12)=0,IF((AC$7-2)=12,AC$12,AC$13)*(1+AC$14),1)</f>
        <v/>
      </c>
      <c r="AD32" s="48">
        <f>AC32*(1+AD$10)*(1-AD$11)*IF(MOD((AD$7-2),12)=0,IF((AD$7-2)=12,AD$12,AD$13)*(1+AD$14),1)</f>
        <v/>
      </c>
      <c r="AE32" s="48">
        <f>AD32*(1+AE$10)*(1-AE$11)*IF(MOD((AE$7-2),12)=0,IF((AE$7-2)=12,AE$12,AE$13)*(1+AE$14),1)</f>
        <v/>
      </c>
      <c r="AF32" s="48">
        <f>AE32*(1+AF$10)*(1-AF$11)*IF(MOD((AF$7-2),12)=0,IF((AF$7-2)=12,AF$12,AF$13)*(1+AF$14),1)</f>
        <v/>
      </c>
      <c r="AG32" s="48">
        <f>AF32*(1+AG$10)*(1-AG$11)*IF(MOD((AG$7-2),12)=0,IF((AG$7-2)=12,AG$12,AG$13)*(1+AG$14),1)</f>
        <v/>
      </c>
      <c r="AH32" s="48">
        <f>AG32*(1+AH$10)*(1-AH$11)*IF(MOD((AH$7-2),12)=0,IF((AH$7-2)=12,AH$12,AH$13)*(1+AH$14),1)</f>
        <v/>
      </c>
      <c r="AI32" s="48">
        <f>AH32*(1+AI$10)*(1-AI$11)*IF(MOD((AI$7-2),12)=0,IF((AI$7-2)=12,AI$12,AI$13)*(1+AI$14),1)</f>
        <v/>
      </c>
      <c r="AJ32" s="48">
        <f>AI32*(1+AJ$10)*(1-AJ$11)*IF(MOD((AJ$7-2),12)=0,IF((AJ$7-2)=12,AJ$12,AJ$13)*(1+AJ$14),1)</f>
        <v/>
      </c>
      <c r="AK32" s="48">
        <f>AJ32*(1+AK$10)*(1-AK$11)*IF(MOD((AK$7-2),12)=0,IF((AK$7-2)=12,AK$12,AK$13)*(1+AK$14),1)</f>
        <v/>
      </c>
      <c r="AL32" s="48">
        <f>AK32*(1+AL$10)*(1-AL$11)*IF(MOD((AL$7-2),12)=0,IF((AL$7-2)=12,AL$12,AL$13)*(1+AL$14),1)</f>
        <v/>
      </c>
      <c r="AM32" s="48">
        <f>AL32*(1+AM$10)*(1-AM$11)*IF(MOD((AM$7-2),12)=0,IF((AM$7-2)=12,AM$12,AM$13)*(1+AM$14),1)</f>
        <v/>
      </c>
      <c r="AN32" s="48">
        <f>AM32*(1+AN$10)*(1-AN$11)*IF(MOD((AN$7-2),12)=0,IF((AN$7-2)=12,AN$12,AN$13)*(1+AN$14),1)</f>
        <v/>
      </c>
      <c r="AO32" s="48">
        <f>AN32*(1+AO$10)*(1-AO$11)*IF(MOD((AO$7-2),12)=0,IF((AO$7-2)=12,AO$12,AO$13)*(1+AO$14),1)</f>
        <v/>
      </c>
      <c r="AP32" s="48">
        <f>AO32*(1+AP$10)*(1-AP$11)*IF(MOD((AP$7-2),12)=0,IF((AP$7-2)=12,AP$12,AP$13)*(1+AP$14),1)</f>
        <v/>
      </c>
      <c r="AQ32" s="48">
        <f>AP32*(1+AQ$10)*(1-AQ$11)*IF(MOD((AQ$7-2),12)=0,IF((AQ$7-2)=12,AQ$12,AQ$13)*(1+AQ$14),1)</f>
        <v/>
      </c>
      <c r="AR32" s="48">
        <f>AQ32*(1+AR$10)*(1-AR$11)*IF(MOD((AR$7-2),12)=0,IF((AR$7-2)=12,AR$12,AR$13)*(1+AR$14),1)</f>
        <v/>
      </c>
      <c r="AS32" s="48">
        <f>AR32*(1+AS$10)*(1-AS$11)*IF(MOD((AS$7-2),12)=0,IF((AS$7-2)=12,AS$12,AS$13)*(1+AS$14),1)</f>
        <v/>
      </c>
      <c r="AT32" s="48">
        <f>AS32*(1+AT$10)*(1-AT$11)*IF(MOD((AT$7-2),12)=0,IF((AT$7-2)=12,AT$12,AT$13)*(1+AT$14),1)</f>
        <v/>
      </c>
      <c r="AU32" s="48">
        <f>AT32*(1+AU$10)*(1-AU$11)*IF(MOD((AU$7-2),12)=0,IF((AU$7-2)=12,AU$12,AU$13)*(1+AU$14),1)</f>
        <v/>
      </c>
      <c r="AV32" s="48">
        <f>AU32*(1+AV$10)*(1-AV$11)*IF(MOD((AV$7-2),12)=0,IF((AV$7-2)=12,AV$12,AV$13)*(1+AV$14),1)</f>
        <v/>
      </c>
      <c r="AW32" s="48">
        <f>AV32*(1+AW$10)*(1-AW$11)*IF(MOD((AW$7-2),12)=0,IF((AW$7-2)=12,AW$12,AW$13)*(1+AW$14),1)</f>
        <v/>
      </c>
      <c r="AX32" s="48">
        <f>AW32*(1+AX$10)*(1-AX$11)*IF(MOD((AX$7-2),12)=0,IF((AX$7-2)=12,AX$12,AX$13)*(1+AX$14),1)</f>
        <v/>
      </c>
      <c r="AY32" s="48">
        <f>AX32*(1+AY$10)*(1-AY$11)*IF(MOD((AY$7-2),12)=0,IF((AY$7-2)=12,AY$12,AY$13)*(1+AY$14),1)</f>
        <v/>
      </c>
      <c r="AZ32" s="48">
        <f>AY32*(1+AZ$10)*(1-AZ$11)*IF(MOD((AZ$7-2),12)=0,IF((AZ$7-2)=12,AZ$12,AZ$13)*(1+AZ$14),1)</f>
        <v/>
      </c>
      <c r="BA32" s="48">
        <f>AZ32*(1+BA$10)*(1-BA$11)*IF(MOD((BA$7-2),12)=0,IF((BA$7-2)=12,BA$12,BA$13)*(1+BA$14),1)</f>
        <v/>
      </c>
      <c r="BB32" s="48">
        <f>BA32*(1+BB$10)*(1-BB$11)*IF(MOD((BB$7-2),12)=0,IF((BB$7-2)=12,BB$12,BB$13)*(1+BB$14),1)</f>
        <v/>
      </c>
      <c r="BC32" s="48">
        <f>BB32*(1+BC$10)*(1-BC$11)*IF(MOD((BC$7-2),12)=0,IF((BC$7-2)=12,BC$12,BC$13)*(1+BC$14),1)</f>
        <v/>
      </c>
      <c r="BD32" s="48">
        <f>BC32*(1+BD$10)*(1-BD$11)*IF(MOD((BD$7-2),12)=0,IF((BD$7-2)=12,BD$12,BD$13)*(1+BD$14),1)</f>
        <v/>
      </c>
      <c r="BE32" s="48">
        <f>BD32*(1+BE$10)*(1-BE$11)*IF(MOD((BE$7-2),12)=0,IF((BE$7-2)=12,BE$12,BE$13)*(1+BE$14),1)</f>
        <v/>
      </c>
      <c r="BF32" s="48">
        <f>BE32*(1+BF$10)*(1-BF$11)*IF(MOD((BF$7-2),12)=0,IF((BF$7-2)=12,BF$12,BF$13)*(1+BF$14),1)</f>
        <v/>
      </c>
      <c r="BG32" s="48">
        <f>BF32*(1+BG$10)*(1-BG$11)*IF(MOD((BG$7-2),12)=0,IF((BG$7-2)=12,BG$12,BG$13)*(1+BG$14),1)</f>
        <v/>
      </c>
      <c r="BH32" s="48">
        <f>BG32*(1+BH$10)*(1-BH$11)*IF(MOD((BH$7-2),12)=0,IF((BH$7-2)=12,BH$12,BH$13)*(1+BH$14),1)</f>
        <v/>
      </c>
      <c r="BI32" s="48">
        <f>BH32*(1+BI$10)*(1-BI$11)*IF(MOD((BI$7-2),12)=0,IF((BI$7-2)=12,BI$12,BI$13)*(1+BI$14),1)</f>
        <v/>
      </c>
      <c r="BJ32" s="48">
        <f>BI32*(1+BJ$10)*(1-BJ$11)*IF(MOD((BJ$7-2),12)=0,IF((BJ$7-2)=12,BJ$12,BJ$13)*(1+BJ$14),1)</f>
        <v/>
      </c>
      <c r="BK32" s="48">
        <f>BJ32*(1+BK$10)*(1-BK$11)*IF(MOD((BK$7-2),12)=0,IF((BK$7-2)=12,BK$12,BK$13)*(1+BK$14),1)</f>
        <v/>
      </c>
    </row>
    <row r="33" hidden="1" outlineLevel="1">
      <c r="B33" s="18" t="inlineStr">
        <is>
          <t xml:space="preserve">    Cohort Mar-26</t>
        </is>
      </c>
      <c r="C33" s="19" t="inlineStr">
        <is>
          <t>$</t>
        </is>
      </c>
      <c r="D33" s="48">
        <f>0</f>
        <v/>
      </c>
      <c r="E33" s="48">
        <f>0</f>
        <v/>
      </c>
      <c r="F33" s="48">
        <f>'Rev-Capacity'!F29</f>
        <v/>
      </c>
      <c r="G33" s="48">
        <f>F33*(1+G$10)*(1-G$11)*IF(MOD((G$7-3),12)=0,IF((G$7-3)=12,G$12,G$13)*(1+G$14),1)</f>
        <v/>
      </c>
      <c r="H33" s="48">
        <f>G33*(1+H$10)*(1-H$11)*IF(MOD((H$7-3),12)=0,IF((H$7-3)=12,H$12,H$13)*(1+H$14),1)</f>
        <v/>
      </c>
      <c r="I33" s="48">
        <f>H33*(1+I$10)*(1-I$11)*IF(MOD((I$7-3),12)=0,IF((I$7-3)=12,I$12,I$13)*(1+I$14),1)</f>
        <v/>
      </c>
      <c r="J33" s="48">
        <f>I33*(1+J$10)*(1-J$11)*IF(MOD((J$7-3),12)=0,IF((J$7-3)=12,J$12,J$13)*(1+J$14),1)</f>
        <v/>
      </c>
      <c r="K33" s="48">
        <f>J33*(1+K$10)*(1-K$11)*IF(MOD((K$7-3),12)=0,IF((K$7-3)=12,K$12,K$13)*(1+K$14),1)</f>
        <v/>
      </c>
      <c r="L33" s="48">
        <f>K33*(1+L$10)*(1-L$11)*IF(MOD((L$7-3),12)=0,IF((L$7-3)=12,L$12,L$13)*(1+L$14),1)</f>
        <v/>
      </c>
      <c r="M33" s="48">
        <f>L33*(1+M$10)*(1-M$11)*IF(MOD((M$7-3),12)=0,IF((M$7-3)=12,M$12,M$13)*(1+M$14),1)</f>
        <v/>
      </c>
      <c r="N33" s="48">
        <f>M33*(1+N$10)*(1-N$11)*IF(MOD((N$7-3),12)=0,IF((N$7-3)=12,N$12,N$13)*(1+N$14),1)</f>
        <v/>
      </c>
      <c r="O33" s="48">
        <f>N33*(1+O$10)*(1-O$11)*IF(MOD((O$7-3),12)=0,IF((O$7-3)=12,O$12,O$13)*(1+O$14),1)</f>
        <v/>
      </c>
      <c r="P33" s="48">
        <f>O33*(1+P$10)*(1-P$11)*IF(MOD((P$7-3),12)=0,IF((P$7-3)=12,P$12,P$13)*(1+P$14),1)</f>
        <v/>
      </c>
      <c r="Q33" s="48">
        <f>P33*(1+Q$10)*(1-Q$11)*IF(MOD((Q$7-3),12)=0,IF((Q$7-3)=12,Q$12,Q$13)*(1+Q$14),1)</f>
        <v/>
      </c>
      <c r="R33" s="48">
        <f>Q33*(1+R$10)*(1-R$11)*IF(MOD((R$7-3),12)=0,IF((R$7-3)=12,R$12,R$13)*(1+R$14),1)</f>
        <v/>
      </c>
      <c r="S33" s="48">
        <f>R33*(1+S$10)*(1-S$11)*IF(MOD((S$7-3),12)=0,IF((S$7-3)=12,S$12,S$13)*(1+S$14),1)</f>
        <v/>
      </c>
      <c r="T33" s="48">
        <f>S33*(1+T$10)*(1-T$11)*IF(MOD((T$7-3),12)=0,IF((T$7-3)=12,T$12,T$13)*(1+T$14),1)</f>
        <v/>
      </c>
      <c r="U33" s="48">
        <f>T33*(1+U$10)*(1-U$11)*IF(MOD((U$7-3),12)=0,IF((U$7-3)=12,U$12,U$13)*(1+U$14),1)</f>
        <v/>
      </c>
      <c r="V33" s="48">
        <f>U33*(1+V$10)*(1-V$11)*IF(MOD((V$7-3),12)=0,IF((V$7-3)=12,V$12,V$13)*(1+V$14),1)</f>
        <v/>
      </c>
      <c r="W33" s="48">
        <f>V33*(1+W$10)*(1-W$11)*IF(MOD((W$7-3),12)=0,IF((W$7-3)=12,W$12,W$13)*(1+W$14),1)</f>
        <v/>
      </c>
      <c r="X33" s="48">
        <f>W33*(1+X$10)*(1-X$11)*IF(MOD((X$7-3),12)=0,IF((X$7-3)=12,X$12,X$13)*(1+X$14),1)</f>
        <v/>
      </c>
      <c r="Y33" s="48">
        <f>X33*(1+Y$10)*(1-Y$11)*IF(MOD((Y$7-3),12)=0,IF((Y$7-3)=12,Y$12,Y$13)*(1+Y$14),1)</f>
        <v/>
      </c>
      <c r="Z33" s="48">
        <f>Y33*(1+Z$10)*(1-Z$11)*IF(MOD((Z$7-3),12)=0,IF((Z$7-3)=12,Z$12,Z$13)*(1+Z$14),1)</f>
        <v/>
      </c>
      <c r="AA33" s="48">
        <f>Z33*(1+AA$10)*(1-AA$11)*IF(MOD((AA$7-3),12)=0,IF((AA$7-3)=12,AA$12,AA$13)*(1+AA$14),1)</f>
        <v/>
      </c>
      <c r="AB33" s="48">
        <f>AA33*(1+AB$10)*(1-AB$11)*IF(MOD((AB$7-3),12)=0,IF((AB$7-3)=12,AB$12,AB$13)*(1+AB$14),1)</f>
        <v/>
      </c>
      <c r="AC33" s="48">
        <f>AB33*(1+AC$10)*(1-AC$11)*IF(MOD((AC$7-3),12)=0,IF((AC$7-3)=12,AC$12,AC$13)*(1+AC$14),1)</f>
        <v/>
      </c>
      <c r="AD33" s="48">
        <f>AC33*(1+AD$10)*(1-AD$11)*IF(MOD((AD$7-3),12)=0,IF((AD$7-3)=12,AD$12,AD$13)*(1+AD$14),1)</f>
        <v/>
      </c>
      <c r="AE33" s="48">
        <f>AD33*(1+AE$10)*(1-AE$11)*IF(MOD((AE$7-3),12)=0,IF((AE$7-3)=12,AE$12,AE$13)*(1+AE$14),1)</f>
        <v/>
      </c>
      <c r="AF33" s="48">
        <f>AE33*(1+AF$10)*(1-AF$11)*IF(MOD((AF$7-3),12)=0,IF((AF$7-3)=12,AF$12,AF$13)*(1+AF$14),1)</f>
        <v/>
      </c>
      <c r="AG33" s="48">
        <f>AF33*(1+AG$10)*(1-AG$11)*IF(MOD((AG$7-3),12)=0,IF((AG$7-3)=12,AG$12,AG$13)*(1+AG$14),1)</f>
        <v/>
      </c>
      <c r="AH33" s="48">
        <f>AG33*(1+AH$10)*(1-AH$11)*IF(MOD((AH$7-3),12)=0,IF((AH$7-3)=12,AH$12,AH$13)*(1+AH$14),1)</f>
        <v/>
      </c>
      <c r="AI33" s="48">
        <f>AH33*(1+AI$10)*(1-AI$11)*IF(MOD((AI$7-3),12)=0,IF((AI$7-3)=12,AI$12,AI$13)*(1+AI$14),1)</f>
        <v/>
      </c>
      <c r="AJ33" s="48">
        <f>AI33*(1+AJ$10)*(1-AJ$11)*IF(MOD((AJ$7-3),12)=0,IF((AJ$7-3)=12,AJ$12,AJ$13)*(1+AJ$14),1)</f>
        <v/>
      </c>
      <c r="AK33" s="48">
        <f>AJ33*(1+AK$10)*(1-AK$11)*IF(MOD((AK$7-3),12)=0,IF((AK$7-3)=12,AK$12,AK$13)*(1+AK$14),1)</f>
        <v/>
      </c>
      <c r="AL33" s="48">
        <f>AK33*(1+AL$10)*(1-AL$11)*IF(MOD((AL$7-3),12)=0,IF((AL$7-3)=12,AL$12,AL$13)*(1+AL$14),1)</f>
        <v/>
      </c>
      <c r="AM33" s="48">
        <f>AL33*(1+AM$10)*(1-AM$11)*IF(MOD((AM$7-3),12)=0,IF((AM$7-3)=12,AM$12,AM$13)*(1+AM$14),1)</f>
        <v/>
      </c>
      <c r="AN33" s="48">
        <f>AM33*(1+AN$10)*(1-AN$11)*IF(MOD((AN$7-3),12)=0,IF((AN$7-3)=12,AN$12,AN$13)*(1+AN$14),1)</f>
        <v/>
      </c>
      <c r="AO33" s="48">
        <f>AN33*(1+AO$10)*(1-AO$11)*IF(MOD((AO$7-3),12)=0,IF((AO$7-3)=12,AO$12,AO$13)*(1+AO$14),1)</f>
        <v/>
      </c>
      <c r="AP33" s="48">
        <f>AO33*(1+AP$10)*(1-AP$11)*IF(MOD((AP$7-3),12)=0,IF((AP$7-3)=12,AP$12,AP$13)*(1+AP$14),1)</f>
        <v/>
      </c>
      <c r="AQ33" s="48">
        <f>AP33*(1+AQ$10)*(1-AQ$11)*IF(MOD((AQ$7-3),12)=0,IF((AQ$7-3)=12,AQ$12,AQ$13)*(1+AQ$14),1)</f>
        <v/>
      </c>
      <c r="AR33" s="48">
        <f>AQ33*(1+AR$10)*(1-AR$11)*IF(MOD((AR$7-3),12)=0,IF((AR$7-3)=12,AR$12,AR$13)*(1+AR$14),1)</f>
        <v/>
      </c>
      <c r="AS33" s="48">
        <f>AR33*(1+AS$10)*(1-AS$11)*IF(MOD((AS$7-3),12)=0,IF((AS$7-3)=12,AS$12,AS$13)*(1+AS$14),1)</f>
        <v/>
      </c>
      <c r="AT33" s="48">
        <f>AS33*(1+AT$10)*(1-AT$11)*IF(MOD((AT$7-3),12)=0,IF((AT$7-3)=12,AT$12,AT$13)*(1+AT$14),1)</f>
        <v/>
      </c>
      <c r="AU33" s="48">
        <f>AT33*(1+AU$10)*(1-AU$11)*IF(MOD((AU$7-3),12)=0,IF((AU$7-3)=12,AU$12,AU$13)*(1+AU$14),1)</f>
        <v/>
      </c>
      <c r="AV33" s="48">
        <f>AU33*(1+AV$10)*(1-AV$11)*IF(MOD((AV$7-3),12)=0,IF((AV$7-3)=12,AV$12,AV$13)*(1+AV$14),1)</f>
        <v/>
      </c>
      <c r="AW33" s="48">
        <f>AV33*(1+AW$10)*(1-AW$11)*IF(MOD((AW$7-3),12)=0,IF((AW$7-3)=12,AW$12,AW$13)*(1+AW$14),1)</f>
        <v/>
      </c>
      <c r="AX33" s="48">
        <f>AW33*(1+AX$10)*(1-AX$11)*IF(MOD((AX$7-3),12)=0,IF((AX$7-3)=12,AX$12,AX$13)*(1+AX$14),1)</f>
        <v/>
      </c>
      <c r="AY33" s="48">
        <f>AX33*(1+AY$10)*(1-AY$11)*IF(MOD((AY$7-3),12)=0,IF((AY$7-3)=12,AY$12,AY$13)*(1+AY$14),1)</f>
        <v/>
      </c>
      <c r="AZ33" s="48">
        <f>AY33*(1+AZ$10)*(1-AZ$11)*IF(MOD((AZ$7-3),12)=0,IF((AZ$7-3)=12,AZ$12,AZ$13)*(1+AZ$14),1)</f>
        <v/>
      </c>
      <c r="BA33" s="48">
        <f>AZ33*(1+BA$10)*(1-BA$11)*IF(MOD((BA$7-3),12)=0,IF((BA$7-3)=12,BA$12,BA$13)*(1+BA$14),1)</f>
        <v/>
      </c>
      <c r="BB33" s="48">
        <f>BA33*(1+BB$10)*(1-BB$11)*IF(MOD((BB$7-3),12)=0,IF((BB$7-3)=12,BB$12,BB$13)*(1+BB$14),1)</f>
        <v/>
      </c>
      <c r="BC33" s="48">
        <f>BB33*(1+BC$10)*(1-BC$11)*IF(MOD((BC$7-3),12)=0,IF((BC$7-3)=12,BC$12,BC$13)*(1+BC$14),1)</f>
        <v/>
      </c>
      <c r="BD33" s="48">
        <f>BC33*(1+BD$10)*(1-BD$11)*IF(MOD((BD$7-3),12)=0,IF((BD$7-3)=12,BD$12,BD$13)*(1+BD$14),1)</f>
        <v/>
      </c>
      <c r="BE33" s="48">
        <f>BD33*(1+BE$10)*(1-BE$11)*IF(MOD((BE$7-3),12)=0,IF((BE$7-3)=12,BE$12,BE$13)*(1+BE$14),1)</f>
        <v/>
      </c>
      <c r="BF33" s="48">
        <f>BE33*(1+BF$10)*(1-BF$11)*IF(MOD((BF$7-3),12)=0,IF((BF$7-3)=12,BF$12,BF$13)*(1+BF$14),1)</f>
        <v/>
      </c>
      <c r="BG33" s="48">
        <f>BF33*(1+BG$10)*(1-BG$11)*IF(MOD((BG$7-3),12)=0,IF((BG$7-3)=12,BG$12,BG$13)*(1+BG$14),1)</f>
        <v/>
      </c>
      <c r="BH33" s="48">
        <f>BG33*(1+BH$10)*(1-BH$11)*IF(MOD((BH$7-3),12)=0,IF((BH$7-3)=12,BH$12,BH$13)*(1+BH$14),1)</f>
        <v/>
      </c>
      <c r="BI33" s="48">
        <f>BH33*(1+BI$10)*(1-BI$11)*IF(MOD((BI$7-3),12)=0,IF((BI$7-3)=12,BI$12,BI$13)*(1+BI$14),1)</f>
        <v/>
      </c>
      <c r="BJ33" s="48">
        <f>BI33*(1+BJ$10)*(1-BJ$11)*IF(MOD((BJ$7-3),12)=0,IF((BJ$7-3)=12,BJ$12,BJ$13)*(1+BJ$14),1)</f>
        <v/>
      </c>
      <c r="BK33" s="48">
        <f>BJ33*(1+BK$10)*(1-BK$11)*IF(MOD((BK$7-3),12)=0,IF((BK$7-3)=12,BK$12,BK$13)*(1+BK$14),1)</f>
        <v/>
      </c>
    </row>
    <row r="34" hidden="1" outlineLevel="1">
      <c r="B34" s="18" t="inlineStr">
        <is>
          <t xml:space="preserve">    Cohort Apr-26</t>
        </is>
      </c>
      <c r="C34" s="19" t="inlineStr">
        <is>
          <t>$</t>
        </is>
      </c>
      <c r="D34" s="48">
        <f>0</f>
        <v/>
      </c>
      <c r="E34" s="48">
        <f>0</f>
        <v/>
      </c>
      <c r="F34" s="48">
        <f>0</f>
        <v/>
      </c>
      <c r="G34" s="48">
        <f>'Rev-Capacity'!G29</f>
        <v/>
      </c>
      <c r="H34" s="48">
        <f>G34*(1+H$10)*(1-H$11)*IF(MOD((H$7-4),12)=0,IF((H$7-4)=12,H$12,H$13)*(1+H$14),1)</f>
        <v/>
      </c>
      <c r="I34" s="48">
        <f>H34*(1+I$10)*(1-I$11)*IF(MOD((I$7-4),12)=0,IF((I$7-4)=12,I$12,I$13)*(1+I$14),1)</f>
        <v/>
      </c>
      <c r="J34" s="48">
        <f>I34*(1+J$10)*(1-J$11)*IF(MOD((J$7-4),12)=0,IF((J$7-4)=12,J$12,J$13)*(1+J$14),1)</f>
        <v/>
      </c>
      <c r="K34" s="48">
        <f>J34*(1+K$10)*(1-K$11)*IF(MOD((K$7-4),12)=0,IF((K$7-4)=12,K$12,K$13)*(1+K$14),1)</f>
        <v/>
      </c>
      <c r="L34" s="48">
        <f>K34*(1+L$10)*(1-L$11)*IF(MOD((L$7-4),12)=0,IF((L$7-4)=12,L$12,L$13)*(1+L$14),1)</f>
        <v/>
      </c>
      <c r="M34" s="48">
        <f>L34*(1+M$10)*(1-M$11)*IF(MOD((M$7-4),12)=0,IF((M$7-4)=12,M$12,M$13)*(1+M$14),1)</f>
        <v/>
      </c>
      <c r="N34" s="48">
        <f>M34*(1+N$10)*(1-N$11)*IF(MOD((N$7-4),12)=0,IF((N$7-4)=12,N$12,N$13)*(1+N$14),1)</f>
        <v/>
      </c>
      <c r="O34" s="48">
        <f>N34*(1+O$10)*(1-O$11)*IF(MOD((O$7-4),12)=0,IF((O$7-4)=12,O$12,O$13)*(1+O$14),1)</f>
        <v/>
      </c>
      <c r="P34" s="48">
        <f>O34*(1+P$10)*(1-P$11)*IF(MOD((P$7-4),12)=0,IF((P$7-4)=12,P$12,P$13)*(1+P$14),1)</f>
        <v/>
      </c>
      <c r="Q34" s="48">
        <f>P34*(1+Q$10)*(1-Q$11)*IF(MOD((Q$7-4),12)=0,IF((Q$7-4)=12,Q$12,Q$13)*(1+Q$14),1)</f>
        <v/>
      </c>
      <c r="R34" s="48">
        <f>Q34*(1+R$10)*(1-R$11)*IF(MOD((R$7-4),12)=0,IF((R$7-4)=12,R$12,R$13)*(1+R$14),1)</f>
        <v/>
      </c>
      <c r="S34" s="48">
        <f>R34*(1+S$10)*(1-S$11)*IF(MOD((S$7-4),12)=0,IF((S$7-4)=12,S$12,S$13)*(1+S$14),1)</f>
        <v/>
      </c>
      <c r="T34" s="48">
        <f>S34*(1+T$10)*(1-T$11)*IF(MOD((T$7-4),12)=0,IF((T$7-4)=12,T$12,T$13)*(1+T$14),1)</f>
        <v/>
      </c>
      <c r="U34" s="48">
        <f>T34*(1+U$10)*(1-U$11)*IF(MOD((U$7-4),12)=0,IF((U$7-4)=12,U$12,U$13)*(1+U$14),1)</f>
        <v/>
      </c>
      <c r="V34" s="48">
        <f>U34*(1+V$10)*(1-V$11)*IF(MOD((V$7-4),12)=0,IF((V$7-4)=12,V$12,V$13)*(1+V$14),1)</f>
        <v/>
      </c>
      <c r="W34" s="48">
        <f>V34*(1+W$10)*(1-W$11)*IF(MOD((W$7-4),12)=0,IF((W$7-4)=12,W$12,W$13)*(1+W$14),1)</f>
        <v/>
      </c>
      <c r="X34" s="48">
        <f>W34*(1+X$10)*(1-X$11)*IF(MOD((X$7-4),12)=0,IF((X$7-4)=12,X$12,X$13)*(1+X$14),1)</f>
        <v/>
      </c>
      <c r="Y34" s="48">
        <f>X34*(1+Y$10)*(1-Y$11)*IF(MOD((Y$7-4),12)=0,IF((Y$7-4)=12,Y$12,Y$13)*(1+Y$14),1)</f>
        <v/>
      </c>
      <c r="Z34" s="48">
        <f>Y34*(1+Z$10)*(1-Z$11)*IF(MOD((Z$7-4),12)=0,IF((Z$7-4)=12,Z$12,Z$13)*(1+Z$14),1)</f>
        <v/>
      </c>
      <c r="AA34" s="48">
        <f>Z34*(1+AA$10)*(1-AA$11)*IF(MOD((AA$7-4),12)=0,IF((AA$7-4)=12,AA$12,AA$13)*(1+AA$14),1)</f>
        <v/>
      </c>
      <c r="AB34" s="48">
        <f>AA34*(1+AB$10)*(1-AB$11)*IF(MOD((AB$7-4),12)=0,IF((AB$7-4)=12,AB$12,AB$13)*(1+AB$14),1)</f>
        <v/>
      </c>
      <c r="AC34" s="48">
        <f>AB34*(1+AC$10)*(1-AC$11)*IF(MOD((AC$7-4),12)=0,IF((AC$7-4)=12,AC$12,AC$13)*(1+AC$14),1)</f>
        <v/>
      </c>
      <c r="AD34" s="48">
        <f>AC34*(1+AD$10)*(1-AD$11)*IF(MOD((AD$7-4),12)=0,IF((AD$7-4)=12,AD$12,AD$13)*(1+AD$14),1)</f>
        <v/>
      </c>
      <c r="AE34" s="48">
        <f>AD34*(1+AE$10)*(1-AE$11)*IF(MOD((AE$7-4),12)=0,IF((AE$7-4)=12,AE$12,AE$13)*(1+AE$14),1)</f>
        <v/>
      </c>
      <c r="AF34" s="48">
        <f>AE34*(1+AF$10)*(1-AF$11)*IF(MOD((AF$7-4),12)=0,IF((AF$7-4)=12,AF$12,AF$13)*(1+AF$14),1)</f>
        <v/>
      </c>
      <c r="AG34" s="48">
        <f>AF34*(1+AG$10)*(1-AG$11)*IF(MOD((AG$7-4),12)=0,IF((AG$7-4)=12,AG$12,AG$13)*(1+AG$14),1)</f>
        <v/>
      </c>
      <c r="AH34" s="48">
        <f>AG34*(1+AH$10)*(1-AH$11)*IF(MOD((AH$7-4),12)=0,IF((AH$7-4)=12,AH$12,AH$13)*(1+AH$14),1)</f>
        <v/>
      </c>
      <c r="AI34" s="48">
        <f>AH34*(1+AI$10)*(1-AI$11)*IF(MOD((AI$7-4),12)=0,IF((AI$7-4)=12,AI$12,AI$13)*(1+AI$14),1)</f>
        <v/>
      </c>
      <c r="AJ34" s="48">
        <f>AI34*(1+AJ$10)*(1-AJ$11)*IF(MOD((AJ$7-4),12)=0,IF((AJ$7-4)=12,AJ$12,AJ$13)*(1+AJ$14),1)</f>
        <v/>
      </c>
      <c r="AK34" s="48">
        <f>AJ34*(1+AK$10)*(1-AK$11)*IF(MOD((AK$7-4),12)=0,IF((AK$7-4)=12,AK$12,AK$13)*(1+AK$14),1)</f>
        <v/>
      </c>
      <c r="AL34" s="48">
        <f>AK34*(1+AL$10)*(1-AL$11)*IF(MOD((AL$7-4),12)=0,IF((AL$7-4)=12,AL$12,AL$13)*(1+AL$14),1)</f>
        <v/>
      </c>
      <c r="AM34" s="48">
        <f>AL34*(1+AM$10)*(1-AM$11)*IF(MOD((AM$7-4),12)=0,IF((AM$7-4)=12,AM$12,AM$13)*(1+AM$14),1)</f>
        <v/>
      </c>
      <c r="AN34" s="48">
        <f>AM34*(1+AN$10)*(1-AN$11)*IF(MOD((AN$7-4),12)=0,IF((AN$7-4)=12,AN$12,AN$13)*(1+AN$14),1)</f>
        <v/>
      </c>
      <c r="AO34" s="48">
        <f>AN34*(1+AO$10)*(1-AO$11)*IF(MOD((AO$7-4),12)=0,IF((AO$7-4)=12,AO$12,AO$13)*(1+AO$14),1)</f>
        <v/>
      </c>
      <c r="AP34" s="48">
        <f>AO34*(1+AP$10)*(1-AP$11)*IF(MOD((AP$7-4),12)=0,IF((AP$7-4)=12,AP$12,AP$13)*(1+AP$14),1)</f>
        <v/>
      </c>
      <c r="AQ34" s="48">
        <f>AP34*(1+AQ$10)*(1-AQ$11)*IF(MOD((AQ$7-4),12)=0,IF((AQ$7-4)=12,AQ$12,AQ$13)*(1+AQ$14),1)</f>
        <v/>
      </c>
      <c r="AR34" s="48">
        <f>AQ34*(1+AR$10)*(1-AR$11)*IF(MOD((AR$7-4),12)=0,IF((AR$7-4)=12,AR$12,AR$13)*(1+AR$14),1)</f>
        <v/>
      </c>
      <c r="AS34" s="48">
        <f>AR34*(1+AS$10)*(1-AS$11)*IF(MOD((AS$7-4),12)=0,IF((AS$7-4)=12,AS$12,AS$13)*(1+AS$14),1)</f>
        <v/>
      </c>
      <c r="AT34" s="48">
        <f>AS34*(1+AT$10)*(1-AT$11)*IF(MOD((AT$7-4),12)=0,IF((AT$7-4)=12,AT$12,AT$13)*(1+AT$14),1)</f>
        <v/>
      </c>
      <c r="AU34" s="48">
        <f>AT34*(1+AU$10)*(1-AU$11)*IF(MOD((AU$7-4),12)=0,IF((AU$7-4)=12,AU$12,AU$13)*(1+AU$14),1)</f>
        <v/>
      </c>
      <c r="AV34" s="48">
        <f>AU34*(1+AV$10)*(1-AV$11)*IF(MOD((AV$7-4),12)=0,IF((AV$7-4)=12,AV$12,AV$13)*(1+AV$14),1)</f>
        <v/>
      </c>
      <c r="AW34" s="48">
        <f>AV34*(1+AW$10)*(1-AW$11)*IF(MOD((AW$7-4),12)=0,IF((AW$7-4)=12,AW$12,AW$13)*(1+AW$14),1)</f>
        <v/>
      </c>
      <c r="AX34" s="48">
        <f>AW34*(1+AX$10)*(1-AX$11)*IF(MOD((AX$7-4),12)=0,IF((AX$7-4)=12,AX$12,AX$13)*(1+AX$14),1)</f>
        <v/>
      </c>
      <c r="AY34" s="48">
        <f>AX34*(1+AY$10)*(1-AY$11)*IF(MOD((AY$7-4),12)=0,IF((AY$7-4)=12,AY$12,AY$13)*(1+AY$14),1)</f>
        <v/>
      </c>
      <c r="AZ34" s="48">
        <f>AY34*(1+AZ$10)*(1-AZ$11)*IF(MOD((AZ$7-4),12)=0,IF((AZ$7-4)=12,AZ$12,AZ$13)*(1+AZ$14),1)</f>
        <v/>
      </c>
      <c r="BA34" s="48">
        <f>AZ34*(1+BA$10)*(1-BA$11)*IF(MOD((BA$7-4),12)=0,IF((BA$7-4)=12,BA$12,BA$13)*(1+BA$14),1)</f>
        <v/>
      </c>
      <c r="BB34" s="48">
        <f>BA34*(1+BB$10)*(1-BB$11)*IF(MOD((BB$7-4),12)=0,IF((BB$7-4)=12,BB$12,BB$13)*(1+BB$14),1)</f>
        <v/>
      </c>
      <c r="BC34" s="48">
        <f>BB34*(1+BC$10)*(1-BC$11)*IF(MOD((BC$7-4),12)=0,IF((BC$7-4)=12,BC$12,BC$13)*(1+BC$14),1)</f>
        <v/>
      </c>
      <c r="BD34" s="48">
        <f>BC34*(1+BD$10)*(1-BD$11)*IF(MOD((BD$7-4),12)=0,IF((BD$7-4)=12,BD$12,BD$13)*(1+BD$14),1)</f>
        <v/>
      </c>
      <c r="BE34" s="48">
        <f>BD34*(1+BE$10)*(1-BE$11)*IF(MOD((BE$7-4),12)=0,IF((BE$7-4)=12,BE$12,BE$13)*(1+BE$14),1)</f>
        <v/>
      </c>
      <c r="BF34" s="48">
        <f>BE34*(1+BF$10)*(1-BF$11)*IF(MOD((BF$7-4),12)=0,IF((BF$7-4)=12,BF$12,BF$13)*(1+BF$14),1)</f>
        <v/>
      </c>
      <c r="BG34" s="48">
        <f>BF34*(1+BG$10)*(1-BG$11)*IF(MOD((BG$7-4),12)=0,IF((BG$7-4)=12,BG$12,BG$13)*(1+BG$14),1)</f>
        <v/>
      </c>
      <c r="BH34" s="48">
        <f>BG34*(1+BH$10)*(1-BH$11)*IF(MOD((BH$7-4),12)=0,IF((BH$7-4)=12,BH$12,BH$13)*(1+BH$14),1)</f>
        <v/>
      </c>
      <c r="BI34" s="48">
        <f>BH34*(1+BI$10)*(1-BI$11)*IF(MOD((BI$7-4),12)=0,IF((BI$7-4)=12,BI$12,BI$13)*(1+BI$14),1)</f>
        <v/>
      </c>
      <c r="BJ34" s="48">
        <f>BI34*(1+BJ$10)*(1-BJ$11)*IF(MOD((BJ$7-4),12)=0,IF((BJ$7-4)=12,BJ$12,BJ$13)*(1+BJ$14),1)</f>
        <v/>
      </c>
      <c r="BK34" s="48">
        <f>BJ34*(1+BK$10)*(1-BK$11)*IF(MOD((BK$7-4),12)=0,IF((BK$7-4)=12,BK$12,BK$13)*(1+BK$14),1)</f>
        <v/>
      </c>
    </row>
    <row r="35" hidden="1" outlineLevel="1">
      <c r="B35" s="18" t="inlineStr">
        <is>
          <t xml:space="preserve">    Cohort May-26</t>
        </is>
      </c>
      <c r="C35" s="19" t="inlineStr">
        <is>
          <t>$</t>
        </is>
      </c>
      <c r="D35" s="48">
        <f>0</f>
        <v/>
      </c>
      <c r="E35" s="48">
        <f>0</f>
        <v/>
      </c>
      <c r="F35" s="48">
        <f>0</f>
        <v/>
      </c>
      <c r="G35" s="48">
        <f>0</f>
        <v/>
      </c>
      <c r="H35" s="48">
        <f>'Rev-Capacity'!H29</f>
        <v/>
      </c>
      <c r="I35" s="48">
        <f>H35*(1+I$10)*(1-I$11)*IF(MOD((I$7-5),12)=0,IF((I$7-5)=12,I$12,I$13)*(1+I$14),1)</f>
        <v/>
      </c>
      <c r="J35" s="48">
        <f>I35*(1+J$10)*(1-J$11)*IF(MOD((J$7-5),12)=0,IF((J$7-5)=12,J$12,J$13)*(1+J$14),1)</f>
        <v/>
      </c>
      <c r="K35" s="48">
        <f>J35*(1+K$10)*(1-K$11)*IF(MOD((K$7-5),12)=0,IF((K$7-5)=12,K$12,K$13)*(1+K$14),1)</f>
        <v/>
      </c>
      <c r="L35" s="48">
        <f>K35*(1+L$10)*(1-L$11)*IF(MOD((L$7-5),12)=0,IF((L$7-5)=12,L$12,L$13)*(1+L$14),1)</f>
        <v/>
      </c>
      <c r="M35" s="48">
        <f>L35*(1+M$10)*(1-M$11)*IF(MOD((M$7-5),12)=0,IF((M$7-5)=12,M$12,M$13)*(1+M$14),1)</f>
        <v/>
      </c>
      <c r="N35" s="48">
        <f>M35*(1+N$10)*(1-N$11)*IF(MOD((N$7-5),12)=0,IF((N$7-5)=12,N$12,N$13)*(1+N$14),1)</f>
        <v/>
      </c>
      <c r="O35" s="48">
        <f>N35*(1+O$10)*(1-O$11)*IF(MOD((O$7-5),12)=0,IF((O$7-5)=12,O$12,O$13)*(1+O$14),1)</f>
        <v/>
      </c>
      <c r="P35" s="48">
        <f>O35*(1+P$10)*(1-P$11)*IF(MOD((P$7-5),12)=0,IF((P$7-5)=12,P$12,P$13)*(1+P$14),1)</f>
        <v/>
      </c>
      <c r="Q35" s="48">
        <f>P35*(1+Q$10)*(1-Q$11)*IF(MOD((Q$7-5),12)=0,IF((Q$7-5)=12,Q$12,Q$13)*(1+Q$14),1)</f>
        <v/>
      </c>
      <c r="R35" s="48">
        <f>Q35*(1+R$10)*(1-R$11)*IF(MOD((R$7-5),12)=0,IF((R$7-5)=12,R$12,R$13)*(1+R$14),1)</f>
        <v/>
      </c>
      <c r="S35" s="48">
        <f>R35*(1+S$10)*(1-S$11)*IF(MOD((S$7-5),12)=0,IF((S$7-5)=12,S$12,S$13)*(1+S$14),1)</f>
        <v/>
      </c>
      <c r="T35" s="48">
        <f>S35*(1+T$10)*(1-T$11)*IF(MOD((T$7-5),12)=0,IF((T$7-5)=12,T$12,T$13)*(1+T$14),1)</f>
        <v/>
      </c>
      <c r="U35" s="48">
        <f>T35*(1+U$10)*(1-U$11)*IF(MOD((U$7-5),12)=0,IF((U$7-5)=12,U$12,U$13)*(1+U$14),1)</f>
        <v/>
      </c>
      <c r="V35" s="48">
        <f>U35*(1+V$10)*(1-V$11)*IF(MOD((V$7-5),12)=0,IF((V$7-5)=12,V$12,V$13)*(1+V$14),1)</f>
        <v/>
      </c>
      <c r="W35" s="48">
        <f>V35*(1+W$10)*(1-W$11)*IF(MOD((W$7-5),12)=0,IF((W$7-5)=12,W$12,W$13)*(1+W$14),1)</f>
        <v/>
      </c>
      <c r="X35" s="48">
        <f>W35*(1+X$10)*(1-X$11)*IF(MOD((X$7-5),12)=0,IF((X$7-5)=12,X$12,X$13)*(1+X$14),1)</f>
        <v/>
      </c>
      <c r="Y35" s="48">
        <f>X35*(1+Y$10)*(1-Y$11)*IF(MOD((Y$7-5),12)=0,IF((Y$7-5)=12,Y$12,Y$13)*(1+Y$14),1)</f>
        <v/>
      </c>
      <c r="Z35" s="48">
        <f>Y35*(1+Z$10)*(1-Z$11)*IF(MOD((Z$7-5),12)=0,IF((Z$7-5)=12,Z$12,Z$13)*(1+Z$14),1)</f>
        <v/>
      </c>
      <c r="AA35" s="48">
        <f>Z35*(1+AA$10)*(1-AA$11)*IF(MOD((AA$7-5),12)=0,IF((AA$7-5)=12,AA$12,AA$13)*(1+AA$14),1)</f>
        <v/>
      </c>
      <c r="AB35" s="48">
        <f>AA35*(1+AB$10)*(1-AB$11)*IF(MOD((AB$7-5),12)=0,IF((AB$7-5)=12,AB$12,AB$13)*(1+AB$14),1)</f>
        <v/>
      </c>
      <c r="AC35" s="48">
        <f>AB35*(1+AC$10)*(1-AC$11)*IF(MOD((AC$7-5),12)=0,IF((AC$7-5)=12,AC$12,AC$13)*(1+AC$14),1)</f>
        <v/>
      </c>
      <c r="AD35" s="48">
        <f>AC35*(1+AD$10)*(1-AD$11)*IF(MOD((AD$7-5),12)=0,IF((AD$7-5)=12,AD$12,AD$13)*(1+AD$14),1)</f>
        <v/>
      </c>
      <c r="AE35" s="48">
        <f>AD35*(1+AE$10)*(1-AE$11)*IF(MOD((AE$7-5),12)=0,IF((AE$7-5)=12,AE$12,AE$13)*(1+AE$14),1)</f>
        <v/>
      </c>
      <c r="AF35" s="48">
        <f>AE35*(1+AF$10)*(1-AF$11)*IF(MOD((AF$7-5),12)=0,IF((AF$7-5)=12,AF$12,AF$13)*(1+AF$14),1)</f>
        <v/>
      </c>
      <c r="AG35" s="48">
        <f>AF35*(1+AG$10)*(1-AG$11)*IF(MOD((AG$7-5),12)=0,IF((AG$7-5)=12,AG$12,AG$13)*(1+AG$14),1)</f>
        <v/>
      </c>
      <c r="AH35" s="48">
        <f>AG35*(1+AH$10)*(1-AH$11)*IF(MOD((AH$7-5),12)=0,IF((AH$7-5)=12,AH$12,AH$13)*(1+AH$14),1)</f>
        <v/>
      </c>
      <c r="AI35" s="48">
        <f>AH35*(1+AI$10)*(1-AI$11)*IF(MOD((AI$7-5),12)=0,IF((AI$7-5)=12,AI$12,AI$13)*(1+AI$14),1)</f>
        <v/>
      </c>
      <c r="AJ35" s="48">
        <f>AI35*(1+AJ$10)*(1-AJ$11)*IF(MOD((AJ$7-5),12)=0,IF((AJ$7-5)=12,AJ$12,AJ$13)*(1+AJ$14),1)</f>
        <v/>
      </c>
      <c r="AK35" s="48">
        <f>AJ35*(1+AK$10)*(1-AK$11)*IF(MOD((AK$7-5),12)=0,IF((AK$7-5)=12,AK$12,AK$13)*(1+AK$14),1)</f>
        <v/>
      </c>
      <c r="AL35" s="48">
        <f>AK35*(1+AL$10)*(1-AL$11)*IF(MOD((AL$7-5),12)=0,IF((AL$7-5)=12,AL$12,AL$13)*(1+AL$14),1)</f>
        <v/>
      </c>
      <c r="AM35" s="48">
        <f>AL35*(1+AM$10)*(1-AM$11)*IF(MOD((AM$7-5),12)=0,IF((AM$7-5)=12,AM$12,AM$13)*(1+AM$14),1)</f>
        <v/>
      </c>
      <c r="AN35" s="48">
        <f>AM35*(1+AN$10)*(1-AN$11)*IF(MOD((AN$7-5),12)=0,IF((AN$7-5)=12,AN$12,AN$13)*(1+AN$14),1)</f>
        <v/>
      </c>
      <c r="AO35" s="48">
        <f>AN35*(1+AO$10)*(1-AO$11)*IF(MOD((AO$7-5),12)=0,IF((AO$7-5)=12,AO$12,AO$13)*(1+AO$14),1)</f>
        <v/>
      </c>
      <c r="AP35" s="48">
        <f>AO35*(1+AP$10)*(1-AP$11)*IF(MOD((AP$7-5),12)=0,IF((AP$7-5)=12,AP$12,AP$13)*(1+AP$14),1)</f>
        <v/>
      </c>
      <c r="AQ35" s="48">
        <f>AP35*(1+AQ$10)*(1-AQ$11)*IF(MOD((AQ$7-5),12)=0,IF((AQ$7-5)=12,AQ$12,AQ$13)*(1+AQ$14),1)</f>
        <v/>
      </c>
      <c r="AR35" s="48">
        <f>AQ35*(1+AR$10)*(1-AR$11)*IF(MOD((AR$7-5),12)=0,IF((AR$7-5)=12,AR$12,AR$13)*(1+AR$14),1)</f>
        <v/>
      </c>
      <c r="AS35" s="48">
        <f>AR35*(1+AS$10)*(1-AS$11)*IF(MOD((AS$7-5),12)=0,IF((AS$7-5)=12,AS$12,AS$13)*(1+AS$14),1)</f>
        <v/>
      </c>
      <c r="AT35" s="48">
        <f>AS35*(1+AT$10)*(1-AT$11)*IF(MOD((AT$7-5),12)=0,IF((AT$7-5)=12,AT$12,AT$13)*(1+AT$14),1)</f>
        <v/>
      </c>
      <c r="AU35" s="48">
        <f>AT35*(1+AU$10)*(1-AU$11)*IF(MOD((AU$7-5),12)=0,IF((AU$7-5)=12,AU$12,AU$13)*(1+AU$14),1)</f>
        <v/>
      </c>
      <c r="AV35" s="48">
        <f>AU35*(1+AV$10)*(1-AV$11)*IF(MOD((AV$7-5),12)=0,IF((AV$7-5)=12,AV$12,AV$13)*(1+AV$14),1)</f>
        <v/>
      </c>
      <c r="AW35" s="48">
        <f>AV35*(1+AW$10)*(1-AW$11)*IF(MOD((AW$7-5),12)=0,IF((AW$7-5)=12,AW$12,AW$13)*(1+AW$14),1)</f>
        <v/>
      </c>
      <c r="AX35" s="48">
        <f>AW35*(1+AX$10)*(1-AX$11)*IF(MOD((AX$7-5),12)=0,IF((AX$7-5)=12,AX$12,AX$13)*(1+AX$14),1)</f>
        <v/>
      </c>
      <c r="AY35" s="48">
        <f>AX35*(1+AY$10)*(1-AY$11)*IF(MOD((AY$7-5),12)=0,IF((AY$7-5)=12,AY$12,AY$13)*(1+AY$14),1)</f>
        <v/>
      </c>
      <c r="AZ35" s="48">
        <f>AY35*(1+AZ$10)*(1-AZ$11)*IF(MOD((AZ$7-5),12)=0,IF((AZ$7-5)=12,AZ$12,AZ$13)*(1+AZ$14),1)</f>
        <v/>
      </c>
      <c r="BA35" s="48">
        <f>AZ35*(1+BA$10)*(1-BA$11)*IF(MOD((BA$7-5),12)=0,IF((BA$7-5)=12,BA$12,BA$13)*(1+BA$14),1)</f>
        <v/>
      </c>
      <c r="BB35" s="48">
        <f>BA35*(1+BB$10)*(1-BB$11)*IF(MOD((BB$7-5),12)=0,IF((BB$7-5)=12,BB$12,BB$13)*(1+BB$14),1)</f>
        <v/>
      </c>
      <c r="BC35" s="48">
        <f>BB35*(1+BC$10)*(1-BC$11)*IF(MOD((BC$7-5),12)=0,IF((BC$7-5)=12,BC$12,BC$13)*(1+BC$14),1)</f>
        <v/>
      </c>
      <c r="BD35" s="48">
        <f>BC35*(1+BD$10)*(1-BD$11)*IF(MOD((BD$7-5),12)=0,IF((BD$7-5)=12,BD$12,BD$13)*(1+BD$14),1)</f>
        <v/>
      </c>
      <c r="BE35" s="48">
        <f>BD35*(1+BE$10)*(1-BE$11)*IF(MOD((BE$7-5),12)=0,IF((BE$7-5)=12,BE$12,BE$13)*(1+BE$14),1)</f>
        <v/>
      </c>
      <c r="BF35" s="48">
        <f>BE35*(1+BF$10)*(1-BF$11)*IF(MOD((BF$7-5),12)=0,IF((BF$7-5)=12,BF$12,BF$13)*(1+BF$14),1)</f>
        <v/>
      </c>
      <c r="BG35" s="48">
        <f>BF35*(1+BG$10)*(1-BG$11)*IF(MOD((BG$7-5),12)=0,IF((BG$7-5)=12,BG$12,BG$13)*(1+BG$14),1)</f>
        <v/>
      </c>
      <c r="BH35" s="48">
        <f>BG35*(1+BH$10)*(1-BH$11)*IF(MOD((BH$7-5),12)=0,IF((BH$7-5)=12,BH$12,BH$13)*(1+BH$14),1)</f>
        <v/>
      </c>
      <c r="BI35" s="48">
        <f>BH35*(1+BI$10)*(1-BI$11)*IF(MOD((BI$7-5),12)=0,IF((BI$7-5)=12,BI$12,BI$13)*(1+BI$14),1)</f>
        <v/>
      </c>
      <c r="BJ35" s="48">
        <f>BI35*(1+BJ$10)*(1-BJ$11)*IF(MOD((BJ$7-5),12)=0,IF((BJ$7-5)=12,BJ$12,BJ$13)*(1+BJ$14),1)</f>
        <v/>
      </c>
      <c r="BK35" s="48">
        <f>BJ35*(1+BK$10)*(1-BK$11)*IF(MOD((BK$7-5),12)=0,IF((BK$7-5)=12,BK$12,BK$13)*(1+BK$14),1)</f>
        <v/>
      </c>
    </row>
    <row r="36" hidden="1" outlineLevel="1">
      <c r="B36" s="18" t="inlineStr">
        <is>
          <t xml:space="preserve">    Cohort Jun-26</t>
        </is>
      </c>
      <c r="C36" s="19" t="inlineStr">
        <is>
          <t>$</t>
        </is>
      </c>
      <c r="D36" s="48">
        <f>0</f>
        <v/>
      </c>
      <c r="E36" s="48">
        <f>0</f>
        <v/>
      </c>
      <c r="F36" s="48">
        <f>0</f>
        <v/>
      </c>
      <c r="G36" s="48">
        <f>0</f>
        <v/>
      </c>
      <c r="H36" s="48">
        <f>0</f>
        <v/>
      </c>
      <c r="I36" s="48">
        <f>'Rev-Capacity'!I29</f>
        <v/>
      </c>
      <c r="J36" s="48">
        <f>I36*(1+J$10)*(1-J$11)*IF(MOD((J$7-6),12)=0,IF((J$7-6)=12,J$12,J$13)*(1+J$14),1)</f>
        <v/>
      </c>
      <c r="K36" s="48">
        <f>J36*(1+K$10)*(1-K$11)*IF(MOD((K$7-6),12)=0,IF((K$7-6)=12,K$12,K$13)*(1+K$14),1)</f>
        <v/>
      </c>
      <c r="L36" s="48">
        <f>K36*(1+L$10)*(1-L$11)*IF(MOD((L$7-6),12)=0,IF((L$7-6)=12,L$12,L$13)*(1+L$14),1)</f>
        <v/>
      </c>
      <c r="M36" s="48">
        <f>L36*(1+M$10)*(1-M$11)*IF(MOD((M$7-6),12)=0,IF((M$7-6)=12,M$12,M$13)*(1+M$14),1)</f>
        <v/>
      </c>
      <c r="N36" s="48">
        <f>M36*(1+N$10)*(1-N$11)*IF(MOD((N$7-6),12)=0,IF((N$7-6)=12,N$12,N$13)*(1+N$14),1)</f>
        <v/>
      </c>
      <c r="O36" s="48">
        <f>N36*(1+O$10)*(1-O$11)*IF(MOD((O$7-6),12)=0,IF((O$7-6)=12,O$12,O$13)*(1+O$14),1)</f>
        <v/>
      </c>
      <c r="P36" s="48">
        <f>O36*(1+P$10)*(1-P$11)*IF(MOD((P$7-6),12)=0,IF((P$7-6)=12,P$12,P$13)*(1+P$14),1)</f>
        <v/>
      </c>
      <c r="Q36" s="48">
        <f>P36*(1+Q$10)*(1-Q$11)*IF(MOD((Q$7-6),12)=0,IF((Q$7-6)=12,Q$12,Q$13)*(1+Q$14),1)</f>
        <v/>
      </c>
      <c r="R36" s="48">
        <f>Q36*(1+R$10)*(1-R$11)*IF(MOD((R$7-6),12)=0,IF((R$7-6)=12,R$12,R$13)*(1+R$14),1)</f>
        <v/>
      </c>
      <c r="S36" s="48">
        <f>R36*(1+S$10)*(1-S$11)*IF(MOD((S$7-6),12)=0,IF((S$7-6)=12,S$12,S$13)*(1+S$14),1)</f>
        <v/>
      </c>
      <c r="T36" s="48">
        <f>S36*(1+T$10)*(1-T$11)*IF(MOD((T$7-6),12)=0,IF((T$7-6)=12,T$12,T$13)*(1+T$14),1)</f>
        <v/>
      </c>
      <c r="U36" s="48">
        <f>T36*(1+U$10)*(1-U$11)*IF(MOD((U$7-6),12)=0,IF((U$7-6)=12,U$12,U$13)*(1+U$14),1)</f>
        <v/>
      </c>
      <c r="V36" s="48">
        <f>U36*(1+V$10)*(1-V$11)*IF(MOD((V$7-6),12)=0,IF((V$7-6)=12,V$12,V$13)*(1+V$14),1)</f>
        <v/>
      </c>
      <c r="W36" s="48">
        <f>V36*(1+W$10)*(1-W$11)*IF(MOD((W$7-6),12)=0,IF((W$7-6)=12,W$12,W$13)*(1+W$14),1)</f>
        <v/>
      </c>
      <c r="X36" s="48">
        <f>W36*(1+X$10)*(1-X$11)*IF(MOD((X$7-6),12)=0,IF((X$7-6)=12,X$12,X$13)*(1+X$14),1)</f>
        <v/>
      </c>
      <c r="Y36" s="48">
        <f>X36*(1+Y$10)*(1-Y$11)*IF(MOD((Y$7-6),12)=0,IF((Y$7-6)=12,Y$12,Y$13)*(1+Y$14),1)</f>
        <v/>
      </c>
      <c r="Z36" s="48">
        <f>Y36*(1+Z$10)*(1-Z$11)*IF(MOD((Z$7-6),12)=0,IF((Z$7-6)=12,Z$12,Z$13)*(1+Z$14),1)</f>
        <v/>
      </c>
      <c r="AA36" s="48">
        <f>Z36*(1+AA$10)*(1-AA$11)*IF(MOD((AA$7-6),12)=0,IF((AA$7-6)=12,AA$12,AA$13)*(1+AA$14),1)</f>
        <v/>
      </c>
      <c r="AB36" s="48">
        <f>AA36*(1+AB$10)*(1-AB$11)*IF(MOD((AB$7-6),12)=0,IF((AB$7-6)=12,AB$12,AB$13)*(1+AB$14),1)</f>
        <v/>
      </c>
      <c r="AC36" s="48">
        <f>AB36*(1+AC$10)*(1-AC$11)*IF(MOD((AC$7-6),12)=0,IF((AC$7-6)=12,AC$12,AC$13)*(1+AC$14),1)</f>
        <v/>
      </c>
      <c r="AD36" s="48">
        <f>AC36*(1+AD$10)*(1-AD$11)*IF(MOD((AD$7-6),12)=0,IF((AD$7-6)=12,AD$12,AD$13)*(1+AD$14),1)</f>
        <v/>
      </c>
      <c r="AE36" s="48">
        <f>AD36*(1+AE$10)*(1-AE$11)*IF(MOD((AE$7-6),12)=0,IF((AE$7-6)=12,AE$12,AE$13)*(1+AE$14),1)</f>
        <v/>
      </c>
      <c r="AF36" s="48">
        <f>AE36*(1+AF$10)*(1-AF$11)*IF(MOD((AF$7-6),12)=0,IF((AF$7-6)=12,AF$12,AF$13)*(1+AF$14),1)</f>
        <v/>
      </c>
      <c r="AG36" s="48">
        <f>AF36*(1+AG$10)*(1-AG$11)*IF(MOD((AG$7-6),12)=0,IF((AG$7-6)=12,AG$12,AG$13)*(1+AG$14),1)</f>
        <v/>
      </c>
      <c r="AH36" s="48">
        <f>AG36*(1+AH$10)*(1-AH$11)*IF(MOD((AH$7-6),12)=0,IF((AH$7-6)=12,AH$12,AH$13)*(1+AH$14),1)</f>
        <v/>
      </c>
      <c r="AI36" s="48">
        <f>AH36*(1+AI$10)*(1-AI$11)*IF(MOD((AI$7-6),12)=0,IF((AI$7-6)=12,AI$12,AI$13)*(1+AI$14),1)</f>
        <v/>
      </c>
      <c r="AJ36" s="48">
        <f>AI36*(1+AJ$10)*(1-AJ$11)*IF(MOD((AJ$7-6),12)=0,IF((AJ$7-6)=12,AJ$12,AJ$13)*(1+AJ$14),1)</f>
        <v/>
      </c>
      <c r="AK36" s="48">
        <f>AJ36*(1+AK$10)*(1-AK$11)*IF(MOD((AK$7-6),12)=0,IF((AK$7-6)=12,AK$12,AK$13)*(1+AK$14),1)</f>
        <v/>
      </c>
      <c r="AL36" s="48">
        <f>AK36*(1+AL$10)*(1-AL$11)*IF(MOD((AL$7-6),12)=0,IF((AL$7-6)=12,AL$12,AL$13)*(1+AL$14),1)</f>
        <v/>
      </c>
      <c r="AM36" s="48">
        <f>AL36*(1+AM$10)*(1-AM$11)*IF(MOD((AM$7-6),12)=0,IF((AM$7-6)=12,AM$12,AM$13)*(1+AM$14),1)</f>
        <v/>
      </c>
      <c r="AN36" s="48">
        <f>AM36*(1+AN$10)*(1-AN$11)*IF(MOD((AN$7-6),12)=0,IF((AN$7-6)=12,AN$12,AN$13)*(1+AN$14),1)</f>
        <v/>
      </c>
      <c r="AO36" s="48">
        <f>AN36*(1+AO$10)*(1-AO$11)*IF(MOD((AO$7-6),12)=0,IF((AO$7-6)=12,AO$12,AO$13)*(1+AO$14),1)</f>
        <v/>
      </c>
      <c r="AP36" s="48">
        <f>AO36*(1+AP$10)*(1-AP$11)*IF(MOD((AP$7-6),12)=0,IF((AP$7-6)=12,AP$12,AP$13)*(1+AP$14),1)</f>
        <v/>
      </c>
      <c r="AQ36" s="48">
        <f>AP36*(1+AQ$10)*(1-AQ$11)*IF(MOD((AQ$7-6),12)=0,IF((AQ$7-6)=12,AQ$12,AQ$13)*(1+AQ$14),1)</f>
        <v/>
      </c>
      <c r="AR36" s="48">
        <f>AQ36*(1+AR$10)*(1-AR$11)*IF(MOD((AR$7-6),12)=0,IF((AR$7-6)=12,AR$12,AR$13)*(1+AR$14),1)</f>
        <v/>
      </c>
      <c r="AS36" s="48">
        <f>AR36*(1+AS$10)*(1-AS$11)*IF(MOD((AS$7-6),12)=0,IF((AS$7-6)=12,AS$12,AS$13)*(1+AS$14),1)</f>
        <v/>
      </c>
      <c r="AT36" s="48">
        <f>AS36*(1+AT$10)*(1-AT$11)*IF(MOD((AT$7-6),12)=0,IF((AT$7-6)=12,AT$12,AT$13)*(1+AT$14),1)</f>
        <v/>
      </c>
      <c r="AU36" s="48">
        <f>AT36*(1+AU$10)*(1-AU$11)*IF(MOD((AU$7-6),12)=0,IF((AU$7-6)=12,AU$12,AU$13)*(1+AU$14),1)</f>
        <v/>
      </c>
      <c r="AV36" s="48">
        <f>AU36*(1+AV$10)*(1-AV$11)*IF(MOD((AV$7-6),12)=0,IF((AV$7-6)=12,AV$12,AV$13)*(1+AV$14),1)</f>
        <v/>
      </c>
      <c r="AW36" s="48">
        <f>AV36*(1+AW$10)*(1-AW$11)*IF(MOD((AW$7-6),12)=0,IF((AW$7-6)=12,AW$12,AW$13)*(1+AW$14),1)</f>
        <v/>
      </c>
      <c r="AX36" s="48">
        <f>AW36*(1+AX$10)*(1-AX$11)*IF(MOD((AX$7-6),12)=0,IF((AX$7-6)=12,AX$12,AX$13)*(1+AX$14),1)</f>
        <v/>
      </c>
      <c r="AY36" s="48">
        <f>AX36*(1+AY$10)*(1-AY$11)*IF(MOD((AY$7-6),12)=0,IF((AY$7-6)=12,AY$12,AY$13)*(1+AY$14),1)</f>
        <v/>
      </c>
      <c r="AZ36" s="48">
        <f>AY36*(1+AZ$10)*(1-AZ$11)*IF(MOD((AZ$7-6),12)=0,IF((AZ$7-6)=12,AZ$12,AZ$13)*(1+AZ$14),1)</f>
        <v/>
      </c>
      <c r="BA36" s="48">
        <f>AZ36*(1+BA$10)*(1-BA$11)*IF(MOD((BA$7-6),12)=0,IF((BA$7-6)=12,BA$12,BA$13)*(1+BA$14),1)</f>
        <v/>
      </c>
      <c r="BB36" s="48">
        <f>BA36*(1+BB$10)*(1-BB$11)*IF(MOD((BB$7-6),12)=0,IF((BB$7-6)=12,BB$12,BB$13)*(1+BB$14),1)</f>
        <v/>
      </c>
      <c r="BC36" s="48">
        <f>BB36*(1+BC$10)*(1-BC$11)*IF(MOD((BC$7-6),12)=0,IF((BC$7-6)=12,BC$12,BC$13)*(1+BC$14),1)</f>
        <v/>
      </c>
      <c r="BD36" s="48">
        <f>BC36*(1+BD$10)*(1-BD$11)*IF(MOD((BD$7-6),12)=0,IF((BD$7-6)=12,BD$12,BD$13)*(1+BD$14),1)</f>
        <v/>
      </c>
      <c r="BE36" s="48">
        <f>BD36*(1+BE$10)*(1-BE$11)*IF(MOD((BE$7-6),12)=0,IF((BE$7-6)=12,BE$12,BE$13)*(1+BE$14),1)</f>
        <v/>
      </c>
      <c r="BF36" s="48">
        <f>BE36*(1+BF$10)*(1-BF$11)*IF(MOD((BF$7-6),12)=0,IF((BF$7-6)=12,BF$12,BF$13)*(1+BF$14),1)</f>
        <v/>
      </c>
      <c r="BG36" s="48">
        <f>BF36*(1+BG$10)*(1-BG$11)*IF(MOD((BG$7-6),12)=0,IF((BG$7-6)=12,BG$12,BG$13)*(1+BG$14),1)</f>
        <v/>
      </c>
      <c r="BH36" s="48">
        <f>BG36*(1+BH$10)*(1-BH$11)*IF(MOD((BH$7-6),12)=0,IF((BH$7-6)=12,BH$12,BH$13)*(1+BH$14),1)</f>
        <v/>
      </c>
      <c r="BI36" s="48">
        <f>BH36*(1+BI$10)*(1-BI$11)*IF(MOD((BI$7-6),12)=0,IF((BI$7-6)=12,BI$12,BI$13)*(1+BI$14),1)</f>
        <v/>
      </c>
      <c r="BJ36" s="48">
        <f>BI36*(1+BJ$10)*(1-BJ$11)*IF(MOD((BJ$7-6),12)=0,IF((BJ$7-6)=12,BJ$12,BJ$13)*(1+BJ$14),1)</f>
        <v/>
      </c>
      <c r="BK36" s="48">
        <f>BJ36*(1+BK$10)*(1-BK$11)*IF(MOD((BK$7-6),12)=0,IF((BK$7-6)=12,BK$12,BK$13)*(1+BK$14),1)</f>
        <v/>
      </c>
    </row>
    <row r="37" hidden="1" outlineLevel="1">
      <c r="B37" s="18" t="inlineStr">
        <is>
          <t xml:space="preserve">    Cohort Jul-26</t>
        </is>
      </c>
      <c r="C37" s="19" t="inlineStr">
        <is>
          <t>$</t>
        </is>
      </c>
      <c r="D37" s="48">
        <f>0</f>
        <v/>
      </c>
      <c r="E37" s="48">
        <f>0</f>
        <v/>
      </c>
      <c r="F37" s="48">
        <f>0</f>
        <v/>
      </c>
      <c r="G37" s="48">
        <f>0</f>
        <v/>
      </c>
      <c r="H37" s="48">
        <f>0</f>
        <v/>
      </c>
      <c r="I37" s="48">
        <f>0</f>
        <v/>
      </c>
      <c r="J37" s="48">
        <f>'Rev-Capacity'!J29</f>
        <v/>
      </c>
      <c r="K37" s="48">
        <f>J37*(1+K$10)*(1-K$11)*IF(MOD((K$7-7),12)=0,IF((K$7-7)=12,K$12,K$13)*(1+K$14),1)</f>
        <v/>
      </c>
      <c r="L37" s="48">
        <f>K37*(1+L$10)*(1-L$11)*IF(MOD((L$7-7),12)=0,IF((L$7-7)=12,L$12,L$13)*(1+L$14),1)</f>
        <v/>
      </c>
      <c r="M37" s="48">
        <f>L37*(1+M$10)*(1-M$11)*IF(MOD((M$7-7),12)=0,IF((M$7-7)=12,M$12,M$13)*(1+M$14),1)</f>
        <v/>
      </c>
      <c r="N37" s="48">
        <f>M37*(1+N$10)*(1-N$11)*IF(MOD((N$7-7),12)=0,IF((N$7-7)=12,N$12,N$13)*(1+N$14),1)</f>
        <v/>
      </c>
      <c r="O37" s="48">
        <f>N37*(1+O$10)*(1-O$11)*IF(MOD((O$7-7),12)=0,IF((O$7-7)=12,O$12,O$13)*(1+O$14),1)</f>
        <v/>
      </c>
      <c r="P37" s="48">
        <f>O37*(1+P$10)*(1-P$11)*IF(MOD((P$7-7),12)=0,IF((P$7-7)=12,P$12,P$13)*(1+P$14),1)</f>
        <v/>
      </c>
      <c r="Q37" s="48">
        <f>P37*(1+Q$10)*(1-Q$11)*IF(MOD((Q$7-7),12)=0,IF((Q$7-7)=12,Q$12,Q$13)*(1+Q$14),1)</f>
        <v/>
      </c>
      <c r="R37" s="48">
        <f>Q37*(1+R$10)*(1-R$11)*IF(MOD((R$7-7),12)=0,IF((R$7-7)=12,R$12,R$13)*(1+R$14),1)</f>
        <v/>
      </c>
      <c r="S37" s="48">
        <f>R37*(1+S$10)*(1-S$11)*IF(MOD((S$7-7),12)=0,IF((S$7-7)=12,S$12,S$13)*(1+S$14),1)</f>
        <v/>
      </c>
      <c r="T37" s="48">
        <f>S37*(1+T$10)*(1-T$11)*IF(MOD((T$7-7),12)=0,IF((T$7-7)=12,T$12,T$13)*(1+T$14),1)</f>
        <v/>
      </c>
      <c r="U37" s="48">
        <f>T37*(1+U$10)*(1-U$11)*IF(MOD((U$7-7),12)=0,IF((U$7-7)=12,U$12,U$13)*(1+U$14),1)</f>
        <v/>
      </c>
      <c r="V37" s="48">
        <f>U37*(1+V$10)*(1-V$11)*IF(MOD((V$7-7),12)=0,IF((V$7-7)=12,V$12,V$13)*(1+V$14),1)</f>
        <v/>
      </c>
      <c r="W37" s="48">
        <f>V37*(1+W$10)*(1-W$11)*IF(MOD((W$7-7),12)=0,IF((W$7-7)=12,W$12,W$13)*(1+W$14),1)</f>
        <v/>
      </c>
      <c r="X37" s="48">
        <f>W37*(1+X$10)*(1-X$11)*IF(MOD((X$7-7),12)=0,IF((X$7-7)=12,X$12,X$13)*(1+X$14),1)</f>
        <v/>
      </c>
      <c r="Y37" s="48">
        <f>X37*(1+Y$10)*(1-Y$11)*IF(MOD((Y$7-7),12)=0,IF((Y$7-7)=12,Y$12,Y$13)*(1+Y$14),1)</f>
        <v/>
      </c>
      <c r="Z37" s="48">
        <f>Y37*(1+Z$10)*(1-Z$11)*IF(MOD((Z$7-7),12)=0,IF((Z$7-7)=12,Z$12,Z$13)*(1+Z$14),1)</f>
        <v/>
      </c>
      <c r="AA37" s="48">
        <f>Z37*(1+AA$10)*(1-AA$11)*IF(MOD((AA$7-7),12)=0,IF((AA$7-7)=12,AA$12,AA$13)*(1+AA$14),1)</f>
        <v/>
      </c>
      <c r="AB37" s="48">
        <f>AA37*(1+AB$10)*(1-AB$11)*IF(MOD((AB$7-7),12)=0,IF((AB$7-7)=12,AB$12,AB$13)*(1+AB$14),1)</f>
        <v/>
      </c>
      <c r="AC37" s="48">
        <f>AB37*(1+AC$10)*(1-AC$11)*IF(MOD((AC$7-7),12)=0,IF((AC$7-7)=12,AC$12,AC$13)*(1+AC$14),1)</f>
        <v/>
      </c>
      <c r="AD37" s="48">
        <f>AC37*(1+AD$10)*(1-AD$11)*IF(MOD((AD$7-7),12)=0,IF((AD$7-7)=12,AD$12,AD$13)*(1+AD$14),1)</f>
        <v/>
      </c>
      <c r="AE37" s="48">
        <f>AD37*(1+AE$10)*(1-AE$11)*IF(MOD((AE$7-7),12)=0,IF((AE$7-7)=12,AE$12,AE$13)*(1+AE$14),1)</f>
        <v/>
      </c>
      <c r="AF37" s="48">
        <f>AE37*(1+AF$10)*(1-AF$11)*IF(MOD((AF$7-7),12)=0,IF((AF$7-7)=12,AF$12,AF$13)*(1+AF$14),1)</f>
        <v/>
      </c>
      <c r="AG37" s="48">
        <f>AF37*(1+AG$10)*(1-AG$11)*IF(MOD((AG$7-7),12)=0,IF((AG$7-7)=12,AG$12,AG$13)*(1+AG$14),1)</f>
        <v/>
      </c>
      <c r="AH37" s="48">
        <f>AG37*(1+AH$10)*(1-AH$11)*IF(MOD((AH$7-7),12)=0,IF((AH$7-7)=12,AH$12,AH$13)*(1+AH$14),1)</f>
        <v/>
      </c>
      <c r="AI37" s="48">
        <f>AH37*(1+AI$10)*(1-AI$11)*IF(MOD((AI$7-7),12)=0,IF((AI$7-7)=12,AI$12,AI$13)*(1+AI$14),1)</f>
        <v/>
      </c>
      <c r="AJ37" s="48">
        <f>AI37*(1+AJ$10)*(1-AJ$11)*IF(MOD((AJ$7-7),12)=0,IF((AJ$7-7)=12,AJ$12,AJ$13)*(1+AJ$14),1)</f>
        <v/>
      </c>
      <c r="AK37" s="48">
        <f>AJ37*(1+AK$10)*(1-AK$11)*IF(MOD((AK$7-7),12)=0,IF((AK$7-7)=12,AK$12,AK$13)*(1+AK$14),1)</f>
        <v/>
      </c>
      <c r="AL37" s="48">
        <f>AK37*(1+AL$10)*(1-AL$11)*IF(MOD((AL$7-7),12)=0,IF((AL$7-7)=12,AL$12,AL$13)*(1+AL$14),1)</f>
        <v/>
      </c>
      <c r="AM37" s="48">
        <f>AL37*(1+AM$10)*(1-AM$11)*IF(MOD((AM$7-7),12)=0,IF((AM$7-7)=12,AM$12,AM$13)*(1+AM$14),1)</f>
        <v/>
      </c>
      <c r="AN37" s="48">
        <f>AM37*(1+AN$10)*(1-AN$11)*IF(MOD((AN$7-7),12)=0,IF((AN$7-7)=12,AN$12,AN$13)*(1+AN$14),1)</f>
        <v/>
      </c>
      <c r="AO37" s="48">
        <f>AN37*(1+AO$10)*(1-AO$11)*IF(MOD((AO$7-7),12)=0,IF((AO$7-7)=12,AO$12,AO$13)*(1+AO$14),1)</f>
        <v/>
      </c>
      <c r="AP37" s="48">
        <f>AO37*(1+AP$10)*(1-AP$11)*IF(MOD((AP$7-7),12)=0,IF((AP$7-7)=12,AP$12,AP$13)*(1+AP$14),1)</f>
        <v/>
      </c>
      <c r="AQ37" s="48">
        <f>AP37*(1+AQ$10)*(1-AQ$11)*IF(MOD((AQ$7-7),12)=0,IF((AQ$7-7)=12,AQ$12,AQ$13)*(1+AQ$14),1)</f>
        <v/>
      </c>
      <c r="AR37" s="48">
        <f>AQ37*(1+AR$10)*(1-AR$11)*IF(MOD((AR$7-7),12)=0,IF((AR$7-7)=12,AR$12,AR$13)*(1+AR$14),1)</f>
        <v/>
      </c>
      <c r="AS37" s="48">
        <f>AR37*(1+AS$10)*(1-AS$11)*IF(MOD((AS$7-7),12)=0,IF((AS$7-7)=12,AS$12,AS$13)*(1+AS$14),1)</f>
        <v/>
      </c>
      <c r="AT37" s="48">
        <f>AS37*(1+AT$10)*(1-AT$11)*IF(MOD((AT$7-7),12)=0,IF((AT$7-7)=12,AT$12,AT$13)*(1+AT$14),1)</f>
        <v/>
      </c>
      <c r="AU37" s="48">
        <f>AT37*(1+AU$10)*(1-AU$11)*IF(MOD((AU$7-7),12)=0,IF((AU$7-7)=12,AU$12,AU$13)*(1+AU$14),1)</f>
        <v/>
      </c>
      <c r="AV37" s="48">
        <f>AU37*(1+AV$10)*(1-AV$11)*IF(MOD((AV$7-7),12)=0,IF((AV$7-7)=12,AV$12,AV$13)*(1+AV$14),1)</f>
        <v/>
      </c>
      <c r="AW37" s="48">
        <f>AV37*(1+AW$10)*(1-AW$11)*IF(MOD((AW$7-7),12)=0,IF((AW$7-7)=12,AW$12,AW$13)*(1+AW$14),1)</f>
        <v/>
      </c>
      <c r="AX37" s="48">
        <f>AW37*(1+AX$10)*(1-AX$11)*IF(MOD((AX$7-7),12)=0,IF((AX$7-7)=12,AX$12,AX$13)*(1+AX$14),1)</f>
        <v/>
      </c>
      <c r="AY37" s="48">
        <f>AX37*(1+AY$10)*(1-AY$11)*IF(MOD((AY$7-7),12)=0,IF((AY$7-7)=12,AY$12,AY$13)*(1+AY$14),1)</f>
        <v/>
      </c>
      <c r="AZ37" s="48">
        <f>AY37*(1+AZ$10)*(1-AZ$11)*IF(MOD((AZ$7-7),12)=0,IF((AZ$7-7)=12,AZ$12,AZ$13)*(1+AZ$14),1)</f>
        <v/>
      </c>
      <c r="BA37" s="48">
        <f>AZ37*(1+BA$10)*(1-BA$11)*IF(MOD((BA$7-7),12)=0,IF((BA$7-7)=12,BA$12,BA$13)*(1+BA$14),1)</f>
        <v/>
      </c>
      <c r="BB37" s="48">
        <f>BA37*(1+BB$10)*(1-BB$11)*IF(MOD((BB$7-7),12)=0,IF((BB$7-7)=12,BB$12,BB$13)*(1+BB$14),1)</f>
        <v/>
      </c>
      <c r="BC37" s="48">
        <f>BB37*(1+BC$10)*(1-BC$11)*IF(MOD((BC$7-7),12)=0,IF((BC$7-7)=12,BC$12,BC$13)*(1+BC$14),1)</f>
        <v/>
      </c>
      <c r="BD37" s="48">
        <f>BC37*(1+BD$10)*(1-BD$11)*IF(MOD((BD$7-7),12)=0,IF((BD$7-7)=12,BD$12,BD$13)*(1+BD$14),1)</f>
        <v/>
      </c>
      <c r="BE37" s="48">
        <f>BD37*(1+BE$10)*(1-BE$11)*IF(MOD((BE$7-7),12)=0,IF((BE$7-7)=12,BE$12,BE$13)*(1+BE$14),1)</f>
        <v/>
      </c>
      <c r="BF37" s="48">
        <f>BE37*(1+BF$10)*(1-BF$11)*IF(MOD((BF$7-7),12)=0,IF((BF$7-7)=12,BF$12,BF$13)*(1+BF$14),1)</f>
        <v/>
      </c>
      <c r="BG37" s="48">
        <f>BF37*(1+BG$10)*(1-BG$11)*IF(MOD((BG$7-7),12)=0,IF((BG$7-7)=12,BG$12,BG$13)*(1+BG$14),1)</f>
        <v/>
      </c>
      <c r="BH37" s="48">
        <f>BG37*(1+BH$10)*(1-BH$11)*IF(MOD((BH$7-7),12)=0,IF((BH$7-7)=12,BH$12,BH$13)*(1+BH$14),1)</f>
        <v/>
      </c>
      <c r="BI37" s="48">
        <f>BH37*(1+BI$10)*(1-BI$11)*IF(MOD((BI$7-7),12)=0,IF((BI$7-7)=12,BI$12,BI$13)*(1+BI$14),1)</f>
        <v/>
      </c>
      <c r="BJ37" s="48">
        <f>BI37*(1+BJ$10)*(1-BJ$11)*IF(MOD((BJ$7-7),12)=0,IF((BJ$7-7)=12,BJ$12,BJ$13)*(1+BJ$14),1)</f>
        <v/>
      </c>
      <c r="BK37" s="48">
        <f>BJ37*(1+BK$10)*(1-BK$11)*IF(MOD((BK$7-7),12)=0,IF((BK$7-7)=12,BK$12,BK$13)*(1+BK$14),1)</f>
        <v/>
      </c>
    </row>
    <row r="38" hidden="1" outlineLevel="1">
      <c r="B38" s="18" t="inlineStr">
        <is>
          <t xml:space="preserve">    Cohort Aug-26</t>
        </is>
      </c>
      <c r="C38" s="19" t="inlineStr">
        <is>
          <t>$</t>
        </is>
      </c>
      <c r="D38" s="48">
        <f>0</f>
        <v/>
      </c>
      <c r="E38" s="48">
        <f>0</f>
        <v/>
      </c>
      <c r="F38" s="48">
        <f>0</f>
        <v/>
      </c>
      <c r="G38" s="48">
        <f>0</f>
        <v/>
      </c>
      <c r="H38" s="48">
        <f>0</f>
        <v/>
      </c>
      <c r="I38" s="48">
        <f>0</f>
        <v/>
      </c>
      <c r="J38" s="48">
        <f>0</f>
        <v/>
      </c>
      <c r="K38" s="48">
        <f>'Rev-Capacity'!K29</f>
        <v/>
      </c>
      <c r="L38" s="48">
        <f>K38*(1+L$10)*(1-L$11)*IF(MOD((L$7-8),12)=0,IF((L$7-8)=12,L$12,L$13)*(1+L$14),1)</f>
        <v/>
      </c>
      <c r="M38" s="48">
        <f>L38*(1+M$10)*(1-M$11)*IF(MOD((M$7-8),12)=0,IF((M$7-8)=12,M$12,M$13)*(1+M$14),1)</f>
        <v/>
      </c>
      <c r="N38" s="48">
        <f>M38*(1+N$10)*(1-N$11)*IF(MOD((N$7-8),12)=0,IF((N$7-8)=12,N$12,N$13)*(1+N$14),1)</f>
        <v/>
      </c>
      <c r="O38" s="48">
        <f>N38*(1+O$10)*(1-O$11)*IF(MOD((O$7-8),12)=0,IF((O$7-8)=12,O$12,O$13)*(1+O$14),1)</f>
        <v/>
      </c>
      <c r="P38" s="48">
        <f>O38*(1+P$10)*(1-P$11)*IF(MOD((P$7-8),12)=0,IF((P$7-8)=12,P$12,P$13)*(1+P$14),1)</f>
        <v/>
      </c>
      <c r="Q38" s="48">
        <f>P38*(1+Q$10)*(1-Q$11)*IF(MOD((Q$7-8),12)=0,IF((Q$7-8)=12,Q$12,Q$13)*(1+Q$14),1)</f>
        <v/>
      </c>
      <c r="R38" s="48">
        <f>Q38*(1+R$10)*(1-R$11)*IF(MOD((R$7-8),12)=0,IF((R$7-8)=12,R$12,R$13)*(1+R$14),1)</f>
        <v/>
      </c>
      <c r="S38" s="48">
        <f>R38*(1+S$10)*(1-S$11)*IF(MOD((S$7-8),12)=0,IF((S$7-8)=12,S$12,S$13)*(1+S$14),1)</f>
        <v/>
      </c>
      <c r="T38" s="48">
        <f>S38*(1+T$10)*(1-T$11)*IF(MOD((T$7-8),12)=0,IF((T$7-8)=12,T$12,T$13)*(1+T$14),1)</f>
        <v/>
      </c>
      <c r="U38" s="48">
        <f>T38*(1+U$10)*(1-U$11)*IF(MOD((U$7-8),12)=0,IF((U$7-8)=12,U$12,U$13)*(1+U$14),1)</f>
        <v/>
      </c>
      <c r="V38" s="48">
        <f>U38*(1+V$10)*(1-V$11)*IF(MOD((V$7-8),12)=0,IF((V$7-8)=12,V$12,V$13)*(1+V$14),1)</f>
        <v/>
      </c>
      <c r="W38" s="48">
        <f>V38*(1+W$10)*(1-W$11)*IF(MOD((W$7-8),12)=0,IF((W$7-8)=12,W$12,W$13)*(1+W$14),1)</f>
        <v/>
      </c>
      <c r="X38" s="48">
        <f>W38*(1+X$10)*(1-X$11)*IF(MOD((X$7-8),12)=0,IF((X$7-8)=12,X$12,X$13)*(1+X$14),1)</f>
        <v/>
      </c>
      <c r="Y38" s="48">
        <f>X38*(1+Y$10)*(1-Y$11)*IF(MOD((Y$7-8),12)=0,IF((Y$7-8)=12,Y$12,Y$13)*(1+Y$14),1)</f>
        <v/>
      </c>
      <c r="Z38" s="48">
        <f>Y38*(1+Z$10)*(1-Z$11)*IF(MOD((Z$7-8),12)=0,IF((Z$7-8)=12,Z$12,Z$13)*(1+Z$14),1)</f>
        <v/>
      </c>
      <c r="AA38" s="48">
        <f>Z38*(1+AA$10)*(1-AA$11)*IF(MOD((AA$7-8),12)=0,IF((AA$7-8)=12,AA$12,AA$13)*(1+AA$14),1)</f>
        <v/>
      </c>
      <c r="AB38" s="48">
        <f>AA38*(1+AB$10)*(1-AB$11)*IF(MOD((AB$7-8),12)=0,IF((AB$7-8)=12,AB$12,AB$13)*(1+AB$14),1)</f>
        <v/>
      </c>
      <c r="AC38" s="48">
        <f>AB38*(1+AC$10)*(1-AC$11)*IF(MOD((AC$7-8),12)=0,IF((AC$7-8)=12,AC$12,AC$13)*(1+AC$14),1)</f>
        <v/>
      </c>
      <c r="AD38" s="48">
        <f>AC38*(1+AD$10)*(1-AD$11)*IF(MOD((AD$7-8),12)=0,IF((AD$7-8)=12,AD$12,AD$13)*(1+AD$14),1)</f>
        <v/>
      </c>
      <c r="AE38" s="48">
        <f>AD38*(1+AE$10)*(1-AE$11)*IF(MOD((AE$7-8),12)=0,IF((AE$7-8)=12,AE$12,AE$13)*(1+AE$14),1)</f>
        <v/>
      </c>
      <c r="AF38" s="48">
        <f>AE38*(1+AF$10)*(1-AF$11)*IF(MOD((AF$7-8),12)=0,IF((AF$7-8)=12,AF$12,AF$13)*(1+AF$14),1)</f>
        <v/>
      </c>
      <c r="AG38" s="48">
        <f>AF38*(1+AG$10)*(1-AG$11)*IF(MOD((AG$7-8),12)=0,IF((AG$7-8)=12,AG$12,AG$13)*(1+AG$14),1)</f>
        <v/>
      </c>
      <c r="AH38" s="48">
        <f>AG38*(1+AH$10)*(1-AH$11)*IF(MOD((AH$7-8),12)=0,IF((AH$7-8)=12,AH$12,AH$13)*(1+AH$14),1)</f>
        <v/>
      </c>
      <c r="AI38" s="48">
        <f>AH38*(1+AI$10)*(1-AI$11)*IF(MOD((AI$7-8),12)=0,IF((AI$7-8)=12,AI$12,AI$13)*(1+AI$14),1)</f>
        <v/>
      </c>
      <c r="AJ38" s="48">
        <f>AI38*(1+AJ$10)*(1-AJ$11)*IF(MOD((AJ$7-8),12)=0,IF((AJ$7-8)=12,AJ$12,AJ$13)*(1+AJ$14),1)</f>
        <v/>
      </c>
      <c r="AK38" s="48">
        <f>AJ38*(1+AK$10)*(1-AK$11)*IF(MOD((AK$7-8),12)=0,IF((AK$7-8)=12,AK$12,AK$13)*(1+AK$14),1)</f>
        <v/>
      </c>
      <c r="AL38" s="48">
        <f>AK38*(1+AL$10)*(1-AL$11)*IF(MOD((AL$7-8),12)=0,IF((AL$7-8)=12,AL$12,AL$13)*(1+AL$14),1)</f>
        <v/>
      </c>
      <c r="AM38" s="48">
        <f>AL38*(1+AM$10)*(1-AM$11)*IF(MOD((AM$7-8),12)=0,IF((AM$7-8)=12,AM$12,AM$13)*(1+AM$14),1)</f>
        <v/>
      </c>
      <c r="AN38" s="48">
        <f>AM38*(1+AN$10)*(1-AN$11)*IF(MOD((AN$7-8),12)=0,IF((AN$7-8)=12,AN$12,AN$13)*(1+AN$14),1)</f>
        <v/>
      </c>
      <c r="AO38" s="48">
        <f>AN38*(1+AO$10)*(1-AO$11)*IF(MOD((AO$7-8),12)=0,IF((AO$7-8)=12,AO$12,AO$13)*(1+AO$14),1)</f>
        <v/>
      </c>
      <c r="AP38" s="48">
        <f>AO38*(1+AP$10)*(1-AP$11)*IF(MOD((AP$7-8),12)=0,IF((AP$7-8)=12,AP$12,AP$13)*(1+AP$14),1)</f>
        <v/>
      </c>
      <c r="AQ38" s="48">
        <f>AP38*(1+AQ$10)*(1-AQ$11)*IF(MOD((AQ$7-8),12)=0,IF((AQ$7-8)=12,AQ$12,AQ$13)*(1+AQ$14),1)</f>
        <v/>
      </c>
      <c r="AR38" s="48">
        <f>AQ38*(1+AR$10)*(1-AR$11)*IF(MOD((AR$7-8),12)=0,IF((AR$7-8)=12,AR$12,AR$13)*(1+AR$14),1)</f>
        <v/>
      </c>
      <c r="AS38" s="48">
        <f>AR38*(1+AS$10)*(1-AS$11)*IF(MOD((AS$7-8),12)=0,IF((AS$7-8)=12,AS$12,AS$13)*(1+AS$14),1)</f>
        <v/>
      </c>
      <c r="AT38" s="48">
        <f>AS38*(1+AT$10)*(1-AT$11)*IF(MOD((AT$7-8),12)=0,IF((AT$7-8)=12,AT$12,AT$13)*(1+AT$14),1)</f>
        <v/>
      </c>
      <c r="AU38" s="48">
        <f>AT38*(1+AU$10)*(1-AU$11)*IF(MOD((AU$7-8),12)=0,IF((AU$7-8)=12,AU$12,AU$13)*(1+AU$14),1)</f>
        <v/>
      </c>
      <c r="AV38" s="48">
        <f>AU38*(1+AV$10)*(1-AV$11)*IF(MOD((AV$7-8),12)=0,IF((AV$7-8)=12,AV$12,AV$13)*(1+AV$14),1)</f>
        <v/>
      </c>
      <c r="AW38" s="48">
        <f>AV38*(1+AW$10)*(1-AW$11)*IF(MOD((AW$7-8),12)=0,IF((AW$7-8)=12,AW$12,AW$13)*(1+AW$14),1)</f>
        <v/>
      </c>
      <c r="AX38" s="48">
        <f>AW38*(1+AX$10)*(1-AX$11)*IF(MOD((AX$7-8),12)=0,IF((AX$7-8)=12,AX$12,AX$13)*(1+AX$14),1)</f>
        <v/>
      </c>
      <c r="AY38" s="48">
        <f>AX38*(1+AY$10)*(1-AY$11)*IF(MOD((AY$7-8),12)=0,IF((AY$7-8)=12,AY$12,AY$13)*(1+AY$14),1)</f>
        <v/>
      </c>
      <c r="AZ38" s="48">
        <f>AY38*(1+AZ$10)*(1-AZ$11)*IF(MOD((AZ$7-8),12)=0,IF((AZ$7-8)=12,AZ$12,AZ$13)*(1+AZ$14),1)</f>
        <v/>
      </c>
      <c r="BA38" s="48">
        <f>AZ38*(1+BA$10)*(1-BA$11)*IF(MOD((BA$7-8),12)=0,IF((BA$7-8)=12,BA$12,BA$13)*(1+BA$14),1)</f>
        <v/>
      </c>
      <c r="BB38" s="48">
        <f>BA38*(1+BB$10)*(1-BB$11)*IF(MOD((BB$7-8),12)=0,IF((BB$7-8)=12,BB$12,BB$13)*(1+BB$14),1)</f>
        <v/>
      </c>
      <c r="BC38" s="48">
        <f>BB38*(1+BC$10)*(1-BC$11)*IF(MOD((BC$7-8),12)=0,IF((BC$7-8)=12,BC$12,BC$13)*(1+BC$14),1)</f>
        <v/>
      </c>
      <c r="BD38" s="48">
        <f>BC38*(1+BD$10)*(1-BD$11)*IF(MOD((BD$7-8),12)=0,IF((BD$7-8)=12,BD$12,BD$13)*(1+BD$14),1)</f>
        <v/>
      </c>
      <c r="BE38" s="48">
        <f>BD38*(1+BE$10)*(1-BE$11)*IF(MOD((BE$7-8),12)=0,IF((BE$7-8)=12,BE$12,BE$13)*(1+BE$14),1)</f>
        <v/>
      </c>
      <c r="BF38" s="48">
        <f>BE38*(1+BF$10)*(1-BF$11)*IF(MOD((BF$7-8),12)=0,IF((BF$7-8)=12,BF$12,BF$13)*(1+BF$14),1)</f>
        <v/>
      </c>
      <c r="BG38" s="48">
        <f>BF38*(1+BG$10)*(1-BG$11)*IF(MOD((BG$7-8),12)=0,IF((BG$7-8)=12,BG$12,BG$13)*(1+BG$14),1)</f>
        <v/>
      </c>
      <c r="BH38" s="48">
        <f>BG38*(1+BH$10)*(1-BH$11)*IF(MOD((BH$7-8),12)=0,IF((BH$7-8)=12,BH$12,BH$13)*(1+BH$14),1)</f>
        <v/>
      </c>
      <c r="BI38" s="48">
        <f>BH38*(1+BI$10)*(1-BI$11)*IF(MOD((BI$7-8),12)=0,IF((BI$7-8)=12,BI$12,BI$13)*(1+BI$14),1)</f>
        <v/>
      </c>
      <c r="BJ38" s="48">
        <f>BI38*(1+BJ$10)*(1-BJ$11)*IF(MOD((BJ$7-8),12)=0,IF((BJ$7-8)=12,BJ$12,BJ$13)*(1+BJ$14),1)</f>
        <v/>
      </c>
      <c r="BK38" s="48">
        <f>BJ38*(1+BK$10)*(1-BK$11)*IF(MOD((BK$7-8),12)=0,IF((BK$7-8)=12,BK$12,BK$13)*(1+BK$14),1)</f>
        <v/>
      </c>
    </row>
    <row r="39" hidden="1" outlineLevel="1">
      <c r="B39" s="18" t="inlineStr">
        <is>
          <t xml:space="preserve">    Cohort Sep-26</t>
        </is>
      </c>
      <c r="C39" s="19" t="inlineStr">
        <is>
          <t>$</t>
        </is>
      </c>
      <c r="D39" s="48">
        <f>0</f>
        <v/>
      </c>
      <c r="E39" s="48">
        <f>0</f>
        <v/>
      </c>
      <c r="F39" s="48">
        <f>0</f>
        <v/>
      </c>
      <c r="G39" s="48">
        <f>0</f>
        <v/>
      </c>
      <c r="H39" s="48">
        <f>0</f>
        <v/>
      </c>
      <c r="I39" s="48">
        <f>0</f>
        <v/>
      </c>
      <c r="J39" s="48">
        <f>0</f>
        <v/>
      </c>
      <c r="K39" s="48">
        <f>0</f>
        <v/>
      </c>
      <c r="L39" s="48">
        <f>'Rev-Capacity'!L29</f>
        <v/>
      </c>
      <c r="M39" s="48">
        <f>L39*(1+M$10)*(1-M$11)*IF(MOD((M$7-9),12)=0,IF((M$7-9)=12,M$12,M$13)*(1+M$14),1)</f>
        <v/>
      </c>
      <c r="N39" s="48">
        <f>M39*(1+N$10)*(1-N$11)*IF(MOD((N$7-9),12)=0,IF((N$7-9)=12,N$12,N$13)*(1+N$14),1)</f>
        <v/>
      </c>
      <c r="O39" s="48">
        <f>N39*(1+O$10)*(1-O$11)*IF(MOD((O$7-9),12)=0,IF((O$7-9)=12,O$12,O$13)*(1+O$14),1)</f>
        <v/>
      </c>
      <c r="P39" s="48">
        <f>O39*(1+P$10)*(1-P$11)*IF(MOD((P$7-9),12)=0,IF((P$7-9)=12,P$12,P$13)*(1+P$14),1)</f>
        <v/>
      </c>
      <c r="Q39" s="48">
        <f>P39*(1+Q$10)*(1-Q$11)*IF(MOD((Q$7-9),12)=0,IF((Q$7-9)=12,Q$12,Q$13)*(1+Q$14),1)</f>
        <v/>
      </c>
      <c r="R39" s="48">
        <f>Q39*(1+R$10)*(1-R$11)*IF(MOD((R$7-9),12)=0,IF((R$7-9)=12,R$12,R$13)*(1+R$14),1)</f>
        <v/>
      </c>
      <c r="S39" s="48">
        <f>R39*(1+S$10)*(1-S$11)*IF(MOD((S$7-9),12)=0,IF((S$7-9)=12,S$12,S$13)*(1+S$14),1)</f>
        <v/>
      </c>
      <c r="T39" s="48">
        <f>S39*(1+T$10)*(1-T$11)*IF(MOD((T$7-9),12)=0,IF((T$7-9)=12,T$12,T$13)*(1+T$14),1)</f>
        <v/>
      </c>
      <c r="U39" s="48">
        <f>T39*(1+U$10)*(1-U$11)*IF(MOD((U$7-9),12)=0,IF((U$7-9)=12,U$12,U$13)*(1+U$14),1)</f>
        <v/>
      </c>
      <c r="V39" s="48">
        <f>U39*(1+V$10)*(1-V$11)*IF(MOD((V$7-9),12)=0,IF((V$7-9)=12,V$12,V$13)*(1+V$14),1)</f>
        <v/>
      </c>
      <c r="W39" s="48">
        <f>V39*(1+W$10)*(1-W$11)*IF(MOD((W$7-9),12)=0,IF((W$7-9)=12,W$12,W$13)*(1+W$14),1)</f>
        <v/>
      </c>
      <c r="X39" s="48">
        <f>W39*(1+X$10)*(1-X$11)*IF(MOD((X$7-9),12)=0,IF((X$7-9)=12,X$12,X$13)*(1+X$14),1)</f>
        <v/>
      </c>
      <c r="Y39" s="48">
        <f>X39*(1+Y$10)*(1-Y$11)*IF(MOD((Y$7-9),12)=0,IF((Y$7-9)=12,Y$12,Y$13)*(1+Y$14),1)</f>
        <v/>
      </c>
      <c r="Z39" s="48">
        <f>Y39*(1+Z$10)*(1-Z$11)*IF(MOD((Z$7-9),12)=0,IF((Z$7-9)=12,Z$12,Z$13)*(1+Z$14),1)</f>
        <v/>
      </c>
      <c r="AA39" s="48">
        <f>Z39*(1+AA$10)*(1-AA$11)*IF(MOD((AA$7-9),12)=0,IF((AA$7-9)=12,AA$12,AA$13)*(1+AA$14),1)</f>
        <v/>
      </c>
      <c r="AB39" s="48">
        <f>AA39*(1+AB$10)*(1-AB$11)*IF(MOD((AB$7-9),12)=0,IF((AB$7-9)=12,AB$12,AB$13)*(1+AB$14),1)</f>
        <v/>
      </c>
      <c r="AC39" s="48">
        <f>AB39*(1+AC$10)*(1-AC$11)*IF(MOD((AC$7-9),12)=0,IF((AC$7-9)=12,AC$12,AC$13)*(1+AC$14),1)</f>
        <v/>
      </c>
      <c r="AD39" s="48">
        <f>AC39*(1+AD$10)*(1-AD$11)*IF(MOD((AD$7-9),12)=0,IF((AD$7-9)=12,AD$12,AD$13)*(1+AD$14),1)</f>
        <v/>
      </c>
      <c r="AE39" s="48">
        <f>AD39*(1+AE$10)*(1-AE$11)*IF(MOD((AE$7-9),12)=0,IF((AE$7-9)=12,AE$12,AE$13)*(1+AE$14),1)</f>
        <v/>
      </c>
      <c r="AF39" s="48">
        <f>AE39*(1+AF$10)*(1-AF$11)*IF(MOD((AF$7-9),12)=0,IF((AF$7-9)=12,AF$12,AF$13)*(1+AF$14),1)</f>
        <v/>
      </c>
      <c r="AG39" s="48">
        <f>AF39*(1+AG$10)*(1-AG$11)*IF(MOD((AG$7-9),12)=0,IF((AG$7-9)=12,AG$12,AG$13)*(1+AG$14),1)</f>
        <v/>
      </c>
      <c r="AH39" s="48">
        <f>AG39*(1+AH$10)*(1-AH$11)*IF(MOD((AH$7-9),12)=0,IF((AH$7-9)=12,AH$12,AH$13)*(1+AH$14),1)</f>
        <v/>
      </c>
      <c r="AI39" s="48">
        <f>AH39*(1+AI$10)*(1-AI$11)*IF(MOD((AI$7-9),12)=0,IF((AI$7-9)=12,AI$12,AI$13)*(1+AI$14),1)</f>
        <v/>
      </c>
      <c r="AJ39" s="48">
        <f>AI39*(1+AJ$10)*(1-AJ$11)*IF(MOD((AJ$7-9),12)=0,IF((AJ$7-9)=12,AJ$12,AJ$13)*(1+AJ$14),1)</f>
        <v/>
      </c>
      <c r="AK39" s="48">
        <f>AJ39*(1+AK$10)*(1-AK$11)*IF(MOD((AK$7-9),12)=0,IF((AK$7-9)=12,AK$12,AK$13)*(1+AK$14),1)</f>
        <v/>
      </c>
      <c r="AL39" s="48">
        <f>AK39*(1+AL$10)*(1-AL$11)*IF(MOD((AL$7-9),12)=0,IF((AL$7-9)=12,AL$12,AL$13)*(1+AL$14),1)</f>
        <v/>
      </c>
      <c r="AM39" s="48">
        <f>AL39*(1+AM$10)*(1-AM$11)*IF(MOD((AM$7-9),12)=0,IF((AM$7-9)=12,AM$12,AM$13)*(1+AM$14),1)</f>
        <v/>
      </c>
      <c r="AN39" s="48">
        <f>AM39*(1+AN$10)*(1-AN$11)*IF(MOD((AN$7-9),12)=0,IF((AN$7-9)=12,AN$12,AN$13)*(1+AN$14),1)</f>
        <v/>
      </c>
      <c r="AO39" s="48">
        <f>AN39*(1+AO$10)*(1-AO$11)*IF(MOD((AO$7-9),12)=0,IF((AO$7-9)=12,AO$12,AO$13)*(1+AO$14),1)</f>
        <v/>
      </c>
      <c r="AP39" s="48">
        <f>AO39*(1+AP$10)*(1-AP$11)*IF(MOD((AP$7-9),12)=0,IF((AP$7-9)=12,AP$12,AP$13)*(1+AP$14),1)</f>
        <v/>
      </c>
      <c r="AQ39" s="48">
        <f>AP39*(1+AQ$10)*(1-AQ$11)*IF(MOD((AQ$7-9),12)=0,IF((AQ$7-9)=12,AQ$12,AQ$13)*(1+AQ$14),1)</f>
        <v/>
      </c>
      <c r="AR39" s="48">
        <f>AQ39*(1+AR$10)*(1-AR$11)*IF(MOD((AR$7-9),12)=0,IF((AR$7-9)=12,AR$12,AR$13)*(1+AR$14),1)</f>
        <v/>
      </c>
      <c r="AS39" s="48">
        <f>AR39*(1+AS$10)*(1-AS$11)*IF(MOD((AS$7-9),12)=0,IF((AS$7-9)=12,AS$12,AS$13)*(1+AS$14),1)</f>
        <v/>
      </c>
      <c r="AT39" s="48">
        <f>AS39*(1+AT$10)*(1-AT$11)*IF(MOD((AT$7-9),12)=0,IF((AT$7-9)=12,AT$12,AT$13)*(1+AT$14),1)</f>
        <v/>
      </c>
      <c r="AU39" s="48">
        <f>AT39*(1+AU$10)*(1-AU$11)*IF(MOD((AU$7-9),12)=0,IF((AU$7-9)=12,AU$12,AU$13)*(1+AU$14),1)</f>
        <v/>
      </c>
      <c r="AV39" s="48">
        <f>AU39*(1+AV$10)*(1-AV$11)*IF(MOD((AV$7-9),12)=0,IF((AV$7-9)=12,AV$12,AV$13)*(1+AV$14),1)</f>
        <v/>
      </c>
      <c r="AW39" s="48">
        <f>AV39*(1+AW$10)*(1-AW$11)*IF(MOD((AW$7-9),12)=0,IF((AW$7-9)=12,AW$12,AW$13)*(1+AW$14),1)</f>
        <v/>
      </c>
      <c r="AX39" s="48">
        <f>AW39*(1+AX$10)*(1-AX$11)*IF(MOD((AX$7-9),12)=0,IF((AX$7-9)=12,AX$12,AX$13)*(1+AX$14),1)</f>
        <v/>
      </c>
      <c r="AY39" s="48">
        <f>AX39*(1+AY$10)*(1-AY$11)*IF(MOD((AY$7-9),12)=0,IF((AY$7-9)=12,AY$12,AY$13)*(1+AY$14),1)</f>
        <v/>
      </c>
      <c r="AZ39" s="48">
        <f>AY39*(1+AZ$10)*(1-AZ$11)*IF(MOD((AZ$7-9),12)=0,IF((AZ$7-9)=12,AZ$12,AZ$13)*(1+AZ$14),1)</f>
        <v/>
      </c>
      <c r="BA39" s="48">
        <f>AZ39*(1+BA$10)*(1-BA$11)*IF(MOD((BA$7-9),12)=0,IF((BA$7-9)=12,BA$12,BA$13)*(1+BA$14),1)</f>
        <v/>
      </c>
      <c r="BB39" s="48">
        <f>BA39*(1+BB$10)*(1-BB$11)*IF(MOD((BB$7-9),12)=0,IF((BB$7-9)=12,BB$12,BB$13)*(1+BB$14),1)</f>
        <v/>
      </c>
      <c r="BC39" s="48">
        <f>BB39*(1+BC$10)*(1-BC$11)*IF(MOD((BC$7-9),12)=0,IF((BC$7-9)=12,BC$12,BC$13)*(1+BC$14),1)</f>
        <v/>
      </c>
      <c r="BD39" s="48">
        <f>BC39*(1+BD$10)*(1-BD$11)*IF(MOD((BD$7-9),12)=0,IF((BD$7-9)=12,BD$12,BD$13)*(1+BD$14),1)</f>
        <v/>
      </c>
      <c r="BE39" s="48">
        <f>BD39*(1+BE$10)*(1-BE$11)*IF(MOD((BE$7-9),12)=0,IF((BE$7-9)=12,BE$12,BE$13)*(1+BE$14),1)</f>
        <v/>
      </c>
      <c r="BF39" s="48">
        <f>BE39*(1+BF$10)*(1-BF$11)*IF(MOD((BF$7-9),12)=0,IF((BF$7-9)=12,BF$12,BF$13)*(1+BF$14),1)</f>
        <v/>
      </c>
      <c r="BG39" s="48">
        <f>BF39*(1+BG$10)*(1-BG$11)*IF(MOD((BG$7-9),12)=0,IF((BG$7-9)=12,BG$12,BG$13)*(1+BG$14),1)</f>
        <v/>
      </c>
      <c r="BH39" s="48">
        <f>BG39*(1+BH$10)*(1-BH$11)*IF(MOD((BH$7-9),12)=0,IF((BH$7-9)=12,BH$12,BH$13)*(1+BH$14),1)</f>
        <v/>
      </c>
      <c r="BI39" s="48">
        <f>BH39*(1+BI$10)*(1-BI$11)*IF(MOD((BI$7-9),12)=0,IF((BI$7-9)=12,BI$12,BI$13)*(1+BI$14),1)</f>
        <v/>
      </c>
      <c r="BJ39" s="48">
        <f>BI39*(1+BJ$10)*(1-BJ$11)*IF(MOD((BJ$7-9),12)=0,IF((BJ$7-9)=12,BJ$12,BJ$13)*(1+BJ$14),1)</f>
        <v/>
      </c>
      <c r="BK39" s="48">
        <f>BJ39*(1+BK$10)*(1-BK$11)*IF(MOD((BK$7-9),12)=0,IF((BK$7-9)=12,BK$12,BK$13)*(1+BK$14),1)</f>
        <v/>
      </c>
    </row>
    <row r="40" hidden="1" outlineLevel="1">
      <c r="B40" s="18" t="inlineStr">
        <is>
          <t xml:space="preserve">    Cohort Oct-26</t>
        </is>
      </c>
      <c r="C40" s="19" t="inlineStr">
        <is>
          <t>$</t>
        </is>
      </c>
      <c r="D40" s="48">
        <f>0</f>
        <v/>
      </c>
      <c r="E40" s="48">
        <f>0</f>
        <v/>
      </c>
      <c r="F40" s="48">
        <f>0</f>
        <v/>
      </c>
      <c r="G40" s="48">
        <f>0</f>
        <v/>
      </c>
      <c r="H40" s="48">
        <f>0</f>
        <v/>
      </c>
      <c r="I40" s="48">
        <f>0</f>
        <v/>
      </c>
      <c r="J40" s="48">
        <f>0</f>
        <v/>
      </c>
      <c r="K40" s="48">
        <f>0</f>
        <v/>
      </c>
      <c r="L40" s="48">
        <f>0</f>
        <v/>
      </c>
      <c r="M40" s="48">
        <f>'Rev-Capacity'!M29</f>
        <v/>
      </c>
      <c r="N40" s="48">
        <f>M40*(1+N$10)*(1-N$11)*IF(MOD((N$7-10),12)=0,IF((N$7-10)=12,N$12,N$13)*(1+N$14),1)</f>
        <v/>
      </c>
      <c r="O40" s="48">
        <f>N40*(1+O$10)*(1-O$11)*IF(MOD((O$7-10),12)=0,IF((O$7-10)=12,O$12,O$13)*(1+O$14),1)</f>
        <v/>
      </c>
      <c r="P40" s="48">
        <f>O40*(1+P$10)*(1-P$11)*IF(MOD((P$7-10),12)=0,IF((P$7-10)=12,P$12,P$13)*(1+P$14),1)</f>
        <v/>
      </c>
      <c r="Q40" s="48">
        <f>P40*(1+Q$10)*(1-Q$11)*IF(MOD((Q$7-10),12)=0,IF((Q$7-10)=12,Q$12,Q$13)*(1+Q$14),1)</f>
        <v/>
      </c>
      <c r="R40" s="48">
        <f>Q40*(1+R$10)*(1-R$11)*IF(MOD((R$7-10),12)=0,IF((R$7-10)=12,R$12,R$13)*(1+R$14),1)</f>
        <v/>
      </c>
      <c r="S40" s="48">
        <f>R40*(1+S$10)*(1-S$11)*IF(MOD((S$7-10),12)=0,IF((S$7-10)=12,S$12,S$13)*(1+S$14),1)</f>
        <v/>
      </c>
      <c r="T40" s="48">
        <f>S40*(1+T$10)*(1-T$11)*IF(MOD((T$7-10),12)=0,IF((T$7-10)=12,T$12,T$13)*(1+T$14),1)</f>
        <v/>
      </c>
      <c r="U40" s="48">
        <f>T40*(1+U$10)*(1-U$11)*IF(MOD((U$7-10),12)=0,IF((U$7-10)=12,U$12,U$13)*(1+U$14),1)</f>
        <v/>
      </c>
      <c r="V40" s="48">
        <f>U40*(1+V$10)*(1-V$11)*IF(MOD((V$7-10),12)=0,IF((V$7-10)=12,V$12,V$13)*(1+V$14),1)</f>
        <v/>
      </c>
      <c r="W40" s="48">
        <f>V40*(1+W$10)*(1-W$11)*IF(MOD((W$7-10),12)=0,IF((W$7-10)=12,W$12,W$13)*(1+W$14),1)</f>
        <v/>
      </c>
      <c r="X40" s="48">
        <f>W40*(1+X$10)*(1-X$11)*IF(MOD((X$7-10),12)=0,IF((X$7-10)=12,X$12,X$13)*(1+X$14),1)</f>
        <v/>
      </c>
      <c r="Y40" s="48">
        <f>X40*(1+Y$10)*(1-Y$11)*IF(MOD((Y$7-10),12)=0,IF((Y$7-10)=12,Y$12,Y$13)*(1+Y$14),1)</f>
        <v/>
      </c>
      <c r="Z40" s="48">
        <f>Y40*(1+Z$10)*(1-Z$11)*IF(MOD((Z$7-10),12)=0,IF((Z$7-10)=12,Z$12,Z$13)*(1+Z$14),1)</f>
        <v/>
      </c>
      <c r="AA40" s="48">
        <f>Z40*(1+AA$10)*(1-AA$11)*IF(MOD((AA$7-10),12)=0,IF((AA$7-10)=12,AA$12,AA$13)*(1+AA$14),1)</f>
        <v/>
      </c>
      <c r="AB40" s="48">
        <f>AA40*(1+AB$10)*(1-AB$11)*IF(MOD((AB$7-10),12)=0,IF((AB$7-10)=12,AB$12,AB$13)*(1+AB$14),1)</f>
        <v/>
      </c>
      <c r="AC40" s="48">
        <f>AB40*(1+AC$10)*(1-AC$11)*IF(MOD((AC$7-10),12)=0,IF((AC$7-10)=12,AC$12,AC$13)*(1+AC$14),1)</f>
        <v/>
      </c>
      <c r="AD40" s="48">
        <f>AC40*(1+AD$10)*(1-AD$11)*IF(MOD((AD$7-10),12)=0,IF((AD$7-10)=12,AD$12,AD$13)*(1+AD$14),1)</f>
        <v/>
      </c>
      <c r="AE40" s="48">
        <f>AD40*(1+AE$10)*(1-AE$11)*IF(MOD((AE$7-10),12)=0,IF((AE$7-10)=12,AE$12,AE$13)*(1+AE$14),1)</f>
        <v/>
      </c>
      <c r="AF40" s="48">
        <f>AE40*(1+AF$10)*(1-AF$11)*IF(MOD((AF$7-10),12)=0,IF((AF$7-10)=12,AF$12,AF$13)*(1+AF$14),1)</f>
        <v/>
      </c>
      <c r="AG40" s="48">
        <f>AF40*(1+AG$10)*(1-AG$11)*IF(MOD((AG$7-10),12)=0,IF((AG$7-10)=12,AG$12,AG$13)*(1+AG$14),1)</f>
        <v/>
      </c>
      <c r="AH40" s="48">
        <f>AG40*(1+AH$10)*(1-AH$11)*IF(MOD((AH$7-10),12)=0,IF((AH$7-10)=12,AH$12,AH$13)*(1+AH$14),1)</f>
        <v/>
      </c>
      <c r="AI40" s="48">
        <f>AH40*(1+AI$10)*(1-AI$11)*IF(MOD((AI$7-10),12)=0,IF((AI$7-10)=12,AI$12,AI$13)*(1+AI$14),1)</f>
        <v/>
      </c>
      <c r="AJ40" s="48">
        <f>AI40*(1+AJ$10)*(1-AJ$11)*IF(MOD((AJ$7-10),12)=0,IF((AJ$7-10)=12,AJ$12,AJ$13)*(1+AJ$14),1)</f>
        <v/>
      </c>
      <c r="AK40" s="48">
        <f>AJ40*(1+AK$10)*(1-AK$11)*IF(MOD((AK$7-10),12)=0,IF((AK$7-10)=12,AK$12,AK$13)*(1+AK$14),1)</f>
        <v/>
      </c>
      <c r="AL40" s="48">
        <f>AK40*(1+AL$10)*(1-AL$11)*IF(MOD((AL$7-10),12)=0,IF((AL$7-10)=12,AL$12,AL$13)*(1+AL$14),1)</f>
        <v/>
      </c>
      <c r="AM40" s="48">
        <f>AL40*(1+AM$10)*(1-AM$11)*IF(MOD((AM$7-10),12)=0,IF((AM$7-10)=12,AM$12,AM$13)*(1+AM$14),1)</f>
        <v/>
      </c>
      <c r="AN40" s="48">
        <f>AM40*(1+AN$10)*(1-AN$11)*IF(MOD((AN$7-10),12)=0,IF((AN$7-10)=12,AN$12,AN$13)*(1+AN$14),1)</f>
        <v/>
      </c>
      <c r="AO40" s="48">
        <f>AN40*(1+AO$10)*(1-AO$11)*IF(MOD((AO$7-10),12)=0,IF((AO$7-10)=12,AO$12,AO$13)*(1+AO$14),1)</f>
        <v/>
      </c>
      <c r="AP40" s="48">
        <f>AO40*(1+AP$10)*(1-AP$11)*IF(MOD((AP$7-10),12)=0,IF((AP$7-10)=12,AP$12,AP$13)*(1+AP$14),1)</f>
        <v/>
      </c>
      <c r="AQ40" s="48">
        <f>AP40*(1+AQ$10)*(1-AQ$11)*IF(MOD((AQ$7-10),12)=0,IF((AQ$7-10)=12,AQ$12,AQ$13)*(1+AQ$14),1)</f>
        <v/>
      </c>
      <c r="AR40" s="48">
        <f>AQ40*(1+AR$10)*(1-AR$11)*IF(MOD((AR$7-10),12)=0,IF((AR$7-10)=12,AR$12,AR$13)*(1+AR$14),1)</f>
        <v/>
      </c>
      <c r="AS40" s="48">
        <f>AR40*(1+AS$10)*(1-AS$11)*IF(MOD((AS$7-10),12)=0,IF((AS$7-10)=12,AS$12,AS$13)*(1+AS$14),1)</f>
        <v/>
      </c>
      <c r="AT40" s="48">
        <f>AS40*(1+AT$10)*(1-AT$11)*IF(MOD((AT$7-10),12)=0,IF((AT$7-10)=12,AT$12,AT$13)*(1+AT$14),1)</f>
        <v/>
      </c>
      <c r="AU40" s="48">
        <f>AT40*(1+AU$10)*(1-AU$11)*IF(MOD((AU$7-10),12)=0,IF((AU$7-10)=12,AU$12,AU$13)*(1+AU$14),1)</f>
        <v/>
      </c>
      <c r="AV40" s="48">
        <f>AU40*(1+AV$10)*(1-AV$11)*IF(MOD((AV$7-10),12)=0,IF((AV$7-10)=12,AV$12,AV$13)*(1+AV$14),1)</f>
        <v/>
      </c>
      <c r="AW40" s="48">
        <f>AV40*(1+AW$10)*(1-AW$11)*IF(MOD((AW$7-10),12)=0,IF((AW$7-10)=12,AW$12,AW$13)*(1+AW$14),1)</f>
        <v/>
      </c>
      <c r="AX40" s="48">
        <f>AW40*(1+AX$10)*(1-AX$11)*IF(MOD((AX$7-10),12)=0,IF((AX$7-10)=12,AX$12,AX$13)*(1+AX$14),1)</f>
        <v/>
      </c>
      <c r="AY40" s="48">
        <f>AX40*(1+AY$10)*(1-AY$11)*IF(MOD((AY$7-10),12)=0,IF((AY$7-10)=12,AY$12,AY$13)*(1+AY$14),1)</f>
        <v/>
      </c>
      <c r="AZ40" s="48">
        <f>AY40*(1+AZ$10)*(1-AZ$11)*IF(MOD((AZ$7-10),12)=0,IF((AZ$7-10)=12,AZ$12,AZ$13)*(1+AZ$14),1)</f>
        <v/>
      </c>
      <c r="BA40" s="48">
        <f>AZ40*(1+BA$10)*(1-BA$11)*IF(MOD((BA$7-10),12)=0,IF((BA$7-10)=12,BA$12,BA$13)*(1+BA$14),1)</f>
        <v/>
      </c>
      <c r="BB40" s="48">
        <f>BA40*(1+BB$10)*(1-BB$11)*IF(MOD((BB$7-10),12)=0,IF((BB$7-10)=12,BB$12,BB$13)*(1+BB$14),1)</f>
        <v/>
      </c>
      <c r="BC40" s="48">
        <f>BB40*(1+BC$10)*(1-BC$11)*IF(MOD((BC$7-10),12)=0,IF((BC$7-10)=12,BC$12,BC$13)*(1+BC$14),1)</f>
        <v/>
      </c>
      <c r="BD40" s="48">
        <f>BC40*(1+BD$10)*(1-BD$11)*IF(MOD((BD$7-10),12)=0,IF((BD$7-10)=12,BD$12,BD$13)*(1+BD$14),1)</f>
        <v/>
      </c>
      <c r="BE40" s="48">
        <f>BD40*(1+BE$10)*(1-BE$11)*IF(MOD((BE$7-10),12)=0,IF((BE$7-10)=12,BE$12,BE$13)*(1+BE$14),1)</f>
        <v/>
      </c>
      <c r="BF40" s="48">
        <f>BE40*(1+BF$10)*(1-BF$11)*IF(MOD((BF$7-10),12)=0,IF((BF$7-10)=12,BF$12,BF$13)*(1+BF$14),1)</f>
        <v/>
      </c>
      <c r="BG40" s="48">
        <f>BF40*(1+BG$10)*(1-BG$11)*IF(MOD((BG$7-10),12)=0,IF((BG$7-10)=12,BG$12,BG$13)*(1+BG$14),1)</f>
        <v/>
      </c>
      <c r="BH40" s="48">
        <f>BG40*(1+BH$10)*(1-BH$11)*IF(MOD((BH$7-10),12)=0,IF((BH$7-10)=12,BH$12,BH$13)*(1+BH$14),1)</f>
        <v/>
      </c>
      <c r="BI40" s="48">
        <f>BH40*(1+BI$10)*(1-BI$11)*IF(MOD((BI$7-10),12)=0,IF((BI$7-10)=12,BI$12,BI$13)*(1+BI$14),1)</f>
        <v/>
      </c>
      <c r="BJ40" s="48">
        <f>BI40*(1+BJ$10)*(1-BJ$11)*IF(MOD((BJ$7-10),12)=0,IF((BJ$7-10)=12,BJ$12,BJ$13)*(1+BJ$14),1)</f>
        <v/>
      </c>
      <c r="BK40" s="48">
        <f>BJ40*(1+BK$10)*(1-BK$11)*IF(MOD((BK$7-10),12)=0,IF((BK$7-10)=12,BK$12,BK$13)*(1+BK$14),1)</f>
        <v/>
      </c>
    </row>
    <row r="41" hidden="1" outlineLevel="1">
      <c r="B41" s="18" t="inlineStr">
        <is>
          <t xml:space="preserve">    Cohort Nov-26</t>
        </is>
      </c>
      <c r="C41" s="19" t="inlineStr">
        <is>
          <t>$</t>
        </is>
      </c>
      <c r="D41" s="48">
        <f>0</f>
        <v/>
      </c>
      <c r="E41" s="48">
        <f>0</f>
        <v/>
      </c>
      <c r="F41" s="48">
        <f>0</f>
        <v/>
      </c>
      <c r="G41" s="48">
        <f>0</f>
        <v/>
      </c>
      <c r="H41" s="48">
        <f>0</f>
        <v/>
      </c>
      <c r="I41" s="48">
        <f>0</f>
        <v/>
      </c>
      <c r="J41" s="48">
        <f>0</f>
        <v/>
      </c>
      <c r="K41" s="48">
        <f>0</f>
        <v/>
      </c>
      <c r="L41" s="48">
        <f>0</f>
        <v/>
      </c>
      <c r="M41" s="48">
        <f>0</f>
        <v/>
      </c>
      <c r="N41" s="48">
        <f>'Rev-Capacity'!N29</f>
        <v/>
      </c>
      <c r="O41" s="48">
        <f>N41*(1+O$10)*(1-O$11)*IF(MOD((O$7-11),12)=0,IF((O$7-11)=12,O$12,O$13)*(1+O$14),1)</f>
        <v/>
      </c>
      <c r="P41" s="48">
        <f>O41*(1+P$10)*(1-P$11)*IF(MOD((P$7-11),12)=0,IF((P$7-11)=12,P$12,P$13)*(1+P$14),1)</f>
        <v/>
      </c>
      <c r="Q41" s="48">
        <f>P41*(1+Q$10)*(1-Q$11)*IF(MOD((Q$7-11),12)=0,IF((Q$7-11)=12,Q$12,Q$13)*(1+Q$14),1)</f>
        <v/>
      </c>
      <c r="R41" s="48">
        <f>Q41*(1+R$10)*(1-R$11)*IF(MOD((R$7-11),12)=0,IF((R$7-11)=12,R$12,R$13)*(1+R$14),1)</f>
        <v/>
      </c>
      <c r="S41" s="48">
        <f>R41*(1+S$10)*(1-S$11)*IF(MOD((S$7-11),12)=0,IF((S$7-11)=12,S$12,S$13)*(1+S$14),1)</f>
        <v/>
      </c>
      <c r="T41" s="48">
        <f>S41*(1+T$10)*(1-T$11)*IF(MOD((T$7-11),12)=0,IF((T$7-11)=12,T$12,T$13)*(1+T$14),1)</f>
        <v/>
      </c>
      <c r="U41" s="48">
        <f>T41*(1+U$10)*(1-U$11)*IF(MOD((U$7-11),12)=0,IF((U$7-11)=12,U$12,U$13)*(1+U$14),1)</f>
        <v/>
      </c>
      <c r="V41" s="48">
        <f>U41*(1+V$10)*(1-V$11)*IF(MOD((V$7-11),12)=0,IF((V$7-11)=12,V$12,V$13)*(1+V$14),1)</f>
        <v/>
      </c>
      <c r="W41" s="48">
        <f>V41*(1+W$10)*(1-W$11)*IF(MOD((W$7-11),12)=0,IF((W$7-11)=12,W$12,W$13)*(1+W$14),1)</f>
        <v/>
      </c>
      <c r="X41" s="48">
        <f>W41*(1+X$10)*(1-X$11)*IF(MOD((X$7-11),12)=0,IF((X$7-11)=12,X$12,X$13)*(1+X$14),1)</f>
        <v/>
      </c>
      <c r="Y41" s="48">
        <f>X41*(1+Y$10)*(1-Y$11)*IF(MOD((Y$7-11),12)=0,IF((Y$7-11)=12,Y$12,Y$13)*(1+Y$14),1)</f>
        <v/>
      </c>
      <c r="Z41" s="48">
        <f>Y41*(1+Z$10)*(1-Z$11)*IF(MOD((Z$7-11),12)=0,IF((Z$7-11)=12,Z$12,Z$13)*(1+Z$14),1)</f>
        <v/>
      </c>
      <c r="AA41" s="48">
        <f>Z41*(1+AA$10)*(1-AA$11)*IF(MOD((AA$7-11),12)=0,IF((AA$7-11)=12,AA$12,AA$13)*(1+AA$14),1)</f>
        <v/>
      </c>
      <c r="AB41" s="48">
        <f>AA41*(1+AB$10)*(1-AB$11)*IF(MOD((AB$7-11),12)=0,IF((AB$7-11)=12,AB$12,AB$13)*(1+AB$14),1)</f>
        <v/>
      </c>
      <c r="AC41" s="48">
        <f>AB41*(1+AC$10)*(1-AC$11)*IF(MOD((AC$7-11),12)=0,IF((AC$7-11)=12,AC$12,AC$13)*(1+AC$14),1)</f>
        <v/>
      </c>
      <c r="AD41" s="48">
        <f>AC41*(1+AD$10)*(1-AD$11)*IF(MOD((AD$7-11),12)=0,IF((AD$7-11)=12,AD$12,AD$13)*(1+AD$14),1)</f>
        <v/>
      </c>
      <c r="AE41" s="48">
        <f>AD41*(1+AE$10)*(1-AE$11)*IF(MOD((AE$7-11),12)=0,IF((AE$7-11)=12,AE$12,AE$13)*(1+AE$14),1)</f>
        <v/>
      </c>
      <c r="AF41" s="48">
        <f>AE41*(1+AF$10)*(1-AF$11)*IF(MOD((AF$7-11),12)=0,IF((AF$7-11)=12,AF$12,AF$13)*(1+AF$14),1)</f>
        <v/>
      </c>
      <c r="AG41" s="48">
        <f>AF41*(1+AG$10)*(1-AG$11)*IF(MOD((AG$7-11),12)=0,IF((AG$7-11)=12,AG$12,AG$13)*(1+AG$14),1)</f>
        <v/>
      </c>
      <c r="AH41" s="48">
        <f>AG41*(1+AH$10)*(1-AH$11)*IF(MOD((AH$7-11),12)=0,IF((AH$7-11)=12,AH$12,AH$13)*(1+AH$14),1)</f>
        <v/>
      </c>
      <c r="AI41" s="48">
        <f>AH41*(1+AI$10)*(1-AI$11)*IF(MOD((AI$7-11),12)=0,IF((AI$7-11)=12,AI$12,AI$13)*(1+AI$14),1)</f>
        <v/>
      </c>
      <c r="AJ41" s="48">
        <f>AI41*(1+AJ$10)*(1-AJ$11)*IF(MOD((AJ$7-11),12)=0,IF((AJ$7-11)=12,AJ$12,AJ$13)*(1+AJ$14),1)</f>
        <v/>
      </c>
      <c r="AK41" s="48">
        <f>AJ41*(1+AK$10)*(1-AK$11)*IF(MOD((AK$7-11),12)=0,IF((AK$7-11)=12,AK$12,AK$13)*(1+AK$14),1)</f>
        <v/>
      </c>
      <c r="AL41" s="48">
        <f>AK41*(1+AL$10)*(1-AL$11)*IF(MOD((AL$7-11),12)=0,IF((AL$7-11)=12,AL$12,AL$13)*(1+AL$14),1)</f>
        <v/>
      </c>
      <c r="AM41" s="48">
        <f>AL41*(1+AM$10)*(1-AM$11)*IF(MOD((AM$7-11),12)=0,IF((AM$7-11)=12,AM$12,AM$13)*(1+AM$14),1)</f>
        <v/>
      </c>
      <c r="AN41" s="48">
        <f>AM41*(1+AN$10)*(1-AN$11)*IF(MOD((AN$7-11),12)=0,IF((AN$7-11)=12,AN$12,AN$13)*(1+AN$14),1)</f>
        <v/>
      </c>
      <c r="AO41" s="48">
        <f>AN41*(1+AO$10)*(1-AO$11)*IF(MOD((AO$7-11),12)=0,IF((AO$7-11)=12,AO$12,AO$13)*(1+AO$14),1)</f>
        <v/>
      </c>
      <c r="AP41" s="48">
        <f>AO41*(1+AP$10)*(1-AP$11)*IF(MOD((AP$7-11),12)=0,IF((AP$7-11)=12,AP$12,AP$13)*(1+AP$14),1)</f>
        <v/>
      </c>
      <c r="AQ41" s="48">
        <f>AP41*(1+AQ$10)*(1-AQ$11)*IF(MOD((AQ$7-11),12)=0,IF((AQ$7-11)=12,AQ$12,AQ$13)*(1+AQ$14),1)</f>
        <v/>
      </c>
      <c r="AR41" s="48">
        <f>AQ41*(1+AR$10)*(1-AR$11)*IF(MOD((AR$7-11),12)=0,IF((AR$7-11)=12,AR$12,AR$13)*(1+AR$14),1)</f>
        <v/>
      </c>
      <c r="AS41" s="48">
        <f>AR41*(1+AS$10)*(1-AS$11)*IF(MOD((AS$7-11),12)=0,IF((AS$7-11)=12,AS$12,AS$13)*(1+AS$14),1)</f>
        <v/>
      </c>
      <c r="AT41" s="48">
        <f>AS41*(1+AT$10)*(1-AT$11)*IF(MOD((AT$7-11),12)=0,IF((AT$7-11)=12,AT$12,AT$13)*(1+AT$14),1)</f>
        <v/>
      </c>
      <c r="AU41" s="48">
        <f>AT41*(1+AU$10)*(1-AU$11)*IF(MOD((AU$7-11),12)=0,IF((AU$7-11)=12,AU$12,AU$13)*(1+AU$14),1)</f>
        <v/>
      </c>
      <c r="AV41" s="48">
        <f>AU41*(1+AV$10)*(1-AV$11)*IF(MOD((AV$7-11),12)=0,IF((AV$7-11)=12,AV$12,AV$13)*(1+AV$14),1)</f>
        <v/>
      </c>
      <c r="AW41" s="48">
        <f>AV41*(1+AW$10)*(1-AW$11)*IF(MOD((AW$7-11),12)=0,IF((AW$7-11)=12,AW$12,AW$13)*(1+AW$14),1)</f>
        <v/>
      </c>
      <c r="AX41" s="48">
        <f>AW41*(1+AX$10)*(1-AX$11)*IF(MOD((AX$7-11),12)=0,IF((AX$7-11)=12,AX$12,AX$13)*(1+AX$14),1)</f>
        <v/>
      </c>
      <c r="AY41" s="48">
        <f>AX41*(1+AY$10)*(1-AY$11)*IF(MOD((AY$7-11),12)=0,IF((AY$7-11)=12,AY$12,AY$13)*(1+AY$14),1)</f>
        <v/>
      </c>
      <c r="AZ41" s="48">
        <f>AY41*(1+AZ$10)*(1-AZ$11)*IF(MOD((AZ$7-11),12)=0,IF((AZ$7-11)=12,AZ$12,AZ$13)*(1+AZ$14),1)</f>
        <v/>
      </c>
      <c r="BA41" s="48">
        <f>AZ41*(1+BA$10)*(1-BA$11)*IF(MOD((BA$7-11),12)=0,IF((BA$7-11)=12,BA$12,BA$13)*(1+BA$14),1)</f>
        <v/>
      </c>
      <c r="BB41" s="48">
        <f>BA41*(1+BB$10)*(1-BB$11)*IF(MOD((BB$7-11),12)=0,IF((BB$7-11)=12,BB$12,BB$13)*(1+BB$14),1)</f>
        <v/>
      </c>
      <c r="BC41" s="48">
        <f>BB41*(1+BC$10)*(1-BC$11)*IF(MOD((BC$7-11),12)=0,IF((BC$7-11)=12,BC$12,BC$13)*(1+BC$14),1)</f>
        <v/>
      </c>
      <c r="BD41" s="48">
        <f>BC41*(1+BD$10)*(1-BD$11)*IF(MOD((BD$7-11),12)=0,IF((BD$7-11)=12,BD$12,BD$13)*(1+BD$14),1)</f>
        <v/>
      </c>
      <c r="BE41" s="48">
        <f>BD41*(1+BE$10)*(1-BE$11)*IF(MOD((BE$7-11),12)=0,IF((BE$7-11)=12,BE$12,BE$13)*(1+BE$14),1)</f>
        <v/>
      </c>
      <c r="BF41" s="48">
        <f>BE41*(1+BF$10)*(1-BF$11)*IF(MOD((BF$7-11),12)=0,IF((BF$7-11)=12,BF$12,BF$13)*(1+BF$14),1)</f>
        <v/>
      </c>
      <c r="BG41" s="48">
        <f>BF41*(1+BG$10)*(1-BG$11)*IF(MOD((BG$7-11),12)=0,IF((BG$7-11)=12,BG$12,BG$13)*(1+BG$14),1)</f>
        <v/>
      </c>
      <c r="BH41" s="48">
        <f>BG41*(1+BH$10)*(1-BH$11)*IF(MOD((BH$7-11),12)=0,IF((BH$7-11)=12,BH$12,BH$13)*(1+BH$14),1)</f>
        <v/>
      </c>
      <c r="BI41" s="48">
        <f>BH41*(1+BI$10)*(1-BI$11)*IF(MOD((BI$7-11),12)=0,IF((BI$7-11)=12,BI$12,BI$13)*(1+BI$14),1)</f>
        <v/>
      </c>
      <c r="BJ41" s="48">
        <f>BI41*(1+BJ$10)*(1-BJ$11)*IF(MOD((BJ$7-11),12)=0,IF((BJ$7-11)=12,BJ$12,BJ$13)*(1+BJ$14),1)</f>
        <v/>
      </c>
      <c r="BK41" s="48">
        <f>BJ41*(1+BK$10)*(1-BK$11)*IF(MOD((BK$7-11),12)=0,IF((BK$7-11)=12,BK$12,BK$13)*(1+BK$14),1)</f>
        <v/>
      </c>
    </row>
    <row r="42" hidden="1" outlineLevel="1">
      <c r="B42" s="18" t="inlineStr">
        <is>
          <t xml:space="preserve">    Cohort Dec-26</t>
        </is>
      </c>
      <c r="C42" s="19" t="inlineStr">
        <is>
          <t>$</t>
        </is>
      </c>
      <c r="D42" s="48">
        <f>0</f>
        <v/>
      </c>
      <c r="E42" s="48">
        <f>0</f>
        <v/>
      </c>
      <c r="F42" s="48">
        <f>0</f>
        <v/>
      </c>
      <c r="G42" s="48">
        <f>0</f>
        <v/>
      </c>
      <c r="H42" s="48">
        <f>0</f>
        <v/>
      </c>
      <c r="I42" s="48">
        <f>0</f>
        <v/>
      </c>
      <c r="J42" s="48">
        <f>0</f>
        <v/>
      </c>
      <c r="K42" s="48">
        <f>0</f>
        <v/>
      </c>
      <c r="L42" s="48">
        <f>0</f>
        <v/>
      </c>
      <c r="M42" s="48">
        <f>0</f>
        <v/>
      </c>
      <c r="N42" s="48">
        <f>0</f>
        <v/>
      </c>
      <c r="O42" s="48">
        <f>'Rev-Capacity'!O29</f>
        <v/>
      </c>
      <c r="P42" s="48">
        <f>O42*(1+P$10)*(1-P$11)*IF(MOD((P$7-12),12)=0,IF((P$7-12)=12,P$12,P$13)*(1+P$14),1)</f>
        <v/>
      </c>
      <c r="Q42" s="48">
        <f>P42*(1+Q$10)*(1-Q$11)*IF(MOD((Q$7-12),12)=0,IF((Q$7-12)=12,Q$12,Q$13)*(1+Q$14),1)</f>
        <v/>
      </c>
      <c r="R42" s="48">
        <f>Q42*(1+R$10)*(1-R$11)*IF(MOD((R$7-12),12)=0,IF((R$7-12)=12,R$12,R$13)*(1+R$14),1)</f>
        <v/>
      </c>
      <c r="S42" s="48">
        <f>R42*(1+S$10)*(1-S$11)*IF(MOD((S$7-12),12)=0,IF((S$7-12)=12,S$12,S$13)*(1+S$14),1)</f>
        <v/>
      </c>
      <c r="T42" s="48">
        <f>S42*(1+T$10)*(1-T$11)*IF(MOD((T$7-12),12)=0,IF((T$7-12)=12,T$12,T$13)*(1+T$14),1)</f>
        <v/>
      </c>
      <c r="U42" s="48">
        <f>T42*(1+U$10)*(1-U$11)*IF(MOD((U$7-12),12)=0,IF((U$7-12)=12,U$12,U$13)*(1+U$14),1)</f>
        <v/>
      </c>
      <c r="V42" s="48">
        <f>U42*(1+V$10)*(1-V$11)*IF(MOD((V$7-12),12)=0,IF((V$7-12)=12,V$12,V$13)*(1+V$14),1)</f>
        <v/>
      </c>
      <c r="W42" s="48">
        <f>V42*(1+W$10)*(1-W$11)*IF(MOD((W$7-12),12)=0,IF((W$7-12)=12,W$12,W$13)*(1+W$14),1)</f>
        <v/>
      </c>
      <c r="X42" s="48">
        <f>W42*(1+X$10)*(1-X$11)*IF(MOD((X$7-12),12)=0,IF((X$7-12)=12,X$12,X$13)*(1+X$14),1)</f>
        <v/>
      </c>
      <c r="Y42" s="48">
        <f>X42*(1+Y$10)*(1-Y$11)*IF(MOD((Y$7-12),12)=0,IF((Y$7-12)=12,Y$12,Y$13)*(1+Y$14),1)</f>
        <v/>
      </c>
      <c r="Z42" s="48">
        <f>Y42*(1+Z$10)*(1-Z$11)*IF(MOD((Z$7-12),12)=0,IF((Z$7-12)=12,Z$12,Z$13)*(1+Z$14),1)</f>
        <v/>
      </c>
      <c r="AA42" s="48">
        <f>Z42*(1+AA$10)*(1-AA$11)*IF(MOD((AA$7-12),12)=0,IF((AA$7-12)=12,AA$12,AA$13)*(1+AA$14),1)</f>
        <v/>
      </c>
      <c r="AB42" s="48">
        <f>AA42*(1+AB$10)*(1-AB$11)*IF(MOD((AB$7-12),12)=0,IF((AB$7-12)=12,AB$12,AB$13)*(1+AB$14),1)</f>
        <v/>
      </c>
      <c r="AC42" s="48">
        <f>AB42*(1+AC$10)*(1-AC$11)*IF(MOD((AC$7-12),12)=0,IF((AC$7-12)=12,AC$12,AC$13)*(1+AC$14),1)</f>
        <v/>
      </c>
      <c r="AD42" s="48">
        <f>AC42*(1+AD$10)*(1-AD$11)*IF(MOD((AD$7-12),12)=0,IF((AD$7-12)=12,AD$12,AD$13)*(1+AD$14),1)</f>
        <v/>
      </c>
      <c r="AE42" s="48">
        <f>AD42*(1+AE$10)*(1-AE$11)*IF(MOD((AE$7-12),12)=0,IF((AE$7-12)=12,AE$12,AE$13)*(1+AE$14),1)</f>
        <v/>
      </c>
      <c r="AF42" s="48">
        <f>AE42*(1+AF$10)*(1-AF$11)*IF(MOD((AF$7-12),12)=0,IF((AF$7-12)=12,AF$12,AF$13)*(1+AF$14),1)</f>
        <v/>
      </c>
      <c r="AG42" s="48">
        <f>AF42*(1+AG$10)*(1-AG$11)*IF(MOD((AG$7-12),12)=0,IF((AG$7-12)=12,AG$12,AG$13)*(1+AG$14),1)</f>
        <v/>
      </c>
      <c r="AH42" s="48">
        <f>AG42*(1+AH$10)*(1-AH$11)*IF(MOD((AH$7-12),12)=0,IF((AH$7-12)=12,AH$12,AH$13)*(1+AH$14),1)</f>
        <v/>
      </c>
      <c r="AI42" s="48">
        <f>AH42*(1+AI$10)*(1-AI$11)*IF(MOD((AI$7-12),12)=0,IF((AI$7-12)=12,AI$12,AI$13)*(1+AI$14),1)</f>
        <v/>
      </c>
      <c r="AJ42" s="48">
        <f>AI42*(1+AJ$10)*(1-AJ$11)*IF(MOD((AJ$7-12),12)=0,IF((AJ$7-12)=12,AJ$12,AJ$13)*(1+AJ$14),1)</f>
        <v/>
      </c>
      <c r="AK42" s="48">
        <f>AJ42*(1+AK$10)*(1-AK$11)*IF(MOD((AK$7-12),12)=0,IF((AK$7-12)=12,AK$12,AK$13)*(1+AK$14),1)</f>
        <v/>
      </c>
      <c r="AL42" s="48">
        <f>AK42*(1+AL$10)*(1-AL$11)*IF(MOD((AL$7-12),12)=0,IF((AL$7-12)=12,AL$12,AL$13)*(1+AL$14),1)</f>
        <v/>
      </c>
      <c r="AM42" s="48">
        <f>AL42*(1+AM$10)*(1-AM$11)*IF(MOD((AM$7-12),12)=0,IF((AM$7-12)=12,AM$12,AM$13)*(1+AM$14),1)</f>
        <v/>
      </c>
      <c r="AN42" s="48">
        <f>AM42*(1+AN$10)*(1-AN$11)*IF(MOD((AN$7-12),12)=0,IF((AN$7-12)=12,AN$12,AN$13)*(1+AN$14),1)</f>
        <v/>
      </c>
      <c r="AO42" s="48">
        <f>AN42*(1+AO$10)*(1-AO$11)*IF(MOD((AO$7-12),12)=0,IF((AO$7-12)=12,AO$12,AO$13)*(1+AO$14),1)</f>
        <v/>
      </c>
      <c r="AP42" s="48">
        <f>AO42*(1+AP$10)*(1-AP$11)*IF(MOD((AP$7-12),12)=0,IF((AP$7-12)=12,AP$12,AP$13)*(1+AP$14),1)</f>
        <v/>
      </c>
      <c r="AQ42" s="48">
        <f>AP42*(1+AQ$10)*(1-AQ$11)*IF(MOD((AQ$7-12),12)=0,IF((AQ$7-12)=12,AQ$12,AQ$13)*(1+AQ$14),1)</f>
        <v/>
      </c>
      <c r="AR42" s="48">
        <f>AQ42*(1+AR$10)*(1-AR$11)*IF(MOD((AR$7-12),12)=0,IF((AR$7-12)=12,AR$12,AR$13)*(1+AR$14),1)</f>
        <v/>
      </c>
      <c r="AS42" s="48">
        <f>AR42*(1+AS$10)*(1-AS$11)*IF(MOD((AS$7-12),12)=0,IF((AS$7-12)=12,AS$12,AS$13)*(1+AS$14),1)</f>
        <v/>
      </c>
      <c r="AT42" s="48">
        <f>AS42*(1+AT$10)*(1-AT$11)*IF(MOD((AT$7-12),12)=0,IF((AT$7-12)=12,AT$12,AT$13)*(1+AT$14),1)</f>
        <v/>
      </c>
      <c r="AU42" s="48">
        <f>AT42*(1+AU$10)*(1-AU$11)*IF(MOD((AU$7-12),12)=0,IF((AU$7-12)=12,AU$12,AU$13)*(1+AU$14),1)</f>
        <v/>
      </c>
      <c r="AV42" s="48">
        <f>AU42*(1+AV$10)*(1-AV$11)*IF(MOD((AV$7-12),12)=0,IF((AV$7-12)=12,AV$12,AV$13)*(1+AV$14),1)</f>
        <v/>
      </c>
      <c r="AW42" s="48">
        <f>AV42*(1+AW$10)*(1-AW$11)*IF(MOD((AW$7-12),12)=0,IF((AW$7-12)=12,AW$12,AW$13)*(1+AW$14),1)</f>
        <v/>
      </c>
      <c r="AX42" s="48">
        <f>AW42*(1+AX$10)*(1-AX$11)*IF(MOD((AX$7-12),12)=0,IF((AX$7-12)=12,AX$12,AX$13)*(1+AX$14),1)</f>
        <v/>
      </c>
      <c r="AY42" s="48">
        <f>AX42*(1+AY$10)*(1-AY$11)*IF(MOD((AY$7-12),12)=0,IF((AY$7-12)=12,AY$12,AY$13)*(1+AY$14),1)</f>
        <v/>
      </c>
      <c r="AZ42" s="48">
        <f>AY42*(1+AZ$10)*(1-AZ$11)*IF(MOD((AZ$7-12),12)=0,IF((AZ$7-12)=12,AZ$12,AZ$13)*(1+AZ$14),1)</f>
        <v/>
      </c>
      <c r="BA42" s="48">
        <f>AZ42*(1+BA$10)*(1-BA$11)*IF(MOD((BA$7-12),12)=0,IF((BA$7-12)=12,BA$12,BA$13)*(1+BA$14),1)</f>
        <v/>
      </c>
      <c r="BB42" s="48">
        <f>BA42*(1+BB$10)*(1-BB$11)*IF(MOD((BB$7-12),12)=0,IF((BB$7-12)=12,BB$12,BB$13)*(1+BB$14),1)</f>
        <v/>
      </c>
      <c r="BC42" s="48">
        <f>BB42*(1+BC$10)*(1-BC$11)*IF(MOD((BC$7-12),12)=0,IF((BC$7-12)=12,BC$12,BC$13)*(1+BC$14),1)</f>
        <v/>
      </c>
      <c r="BD42" s="48">
        <f>BC42*(1+BD$10)*(1-BD$11)*IF(MOD((BD$7-12),12)=0,IF((BD$7-12)=12,BD$12,BD$13)*(1+BD$14),1)</f>
        <v/>
      </c>
      <c r="BE42" s="48">
        <f>BD42*(1+BE$10)*(1-BE$11)*IF(MOD((BE$7-12),12)=0,IF((BE$7-12)=12,BE$12,BE$13)*(1+BE$14),1)</f>
        <v/>
      </c>
      <c r="BF42" s="48">
        <f>BE42*(1+BF$10)*(1-BF$11)*IF(MOD((BF$7-12),12)=0,IF((BF$7-12)=12,BF$12,BF$13)*(1+BF$14),1)</f>
        <v/>
      </c>
      <c r="BG42" s="48">
        <f>BF42*(1+BG$10)*(1-BG$11)*IF(MOD((BG$7-12),12)=0,IF((BG$7-12)=12,BG$12,BG$13)*(1+BG$14),1)</f>
        <v/>
      </c>
      <c r="BH42" s="48">
        <f>BG42*(1+BH$10)*(1-BH$11)*IF(MOD((BH$7-12),12)=0,IF((BH$7-12)=12,BH$12,BH$13)*(1+BH$14),1)</f>
        <v/>
      </c>
      <c r="BI42" s="48">
        <f>BH42*(1+BI$10)*(1-BI$11)*IF(MOD((BI$7-12),12)=0,IF((BI$7-12)=12,BI$12,BI$13)*(1+BI$14),1)</f>
        <v/>
      </c>
      <c r="BJ42" s="48">
        <f>BI42*(1+BJ$10)*(1-BJ$11)*IF(MOD((BJ$7-12),12)=0,IF((BJ$7-12)=12,BJ$12,BJ$13)*(1+BJ$14),1)</f>
        <v/>
      </c>
      <c r="BK42" s="48">
        <f>BJ42*(1+BK$10)*(1-BK$11)*IF(MOD((BK$7-12),12)=0,IF((BK$7-12)=12,BK$12,BK$13)*(1+BK$14),1)</f>
        <v/>
      </c>
    </row>
    <row r="43" hidden="1" outlineLevel="1">
      <c r="B43" s="18" t="inlineStr">
        <is>
          <t xml:space="preserve">    Cohort Jan-27</t>
        </is>
      </c>
      <c r="C43" s="19" t="inlineStr">
        <is>
          <t>$</t>
        </is>
      </c>
      <c r="D43" s="48">
        <f>0</f>
        <v/>
      </c>
      <c r="E43" s="48">
        <f>0</f>
        <v/>
      </c>
      <c r="F43" s="48">
        <f>0</f>
        <v/>
      </c>
      <c r="G43" s="48">
        <f>0</f>
        <v/>
      </c>
      <c r="H43" s="48">
        <f>0</f>
        <v/>
      </c>
      <c r="I43" s="48">
        <f>0</f>
        <v/>
      </c>
      <c r="J43" s="48">
        <f>0</f>
        <v/>
      </c>
      <c r="K43" s="48">
        <f>0</f>
        <v/>
      </c>
      <c r="L43" s="48">
        <f>0</f>
        <v/>
      </c>
      <c r="M43" s="48">
        <f>0</f>
        <v/>
      </c>
      <c r="N43" s="48">
        <f>0</f>
        <v/>
      </c>
      <c r="O43" s="48">
        <f>0</f>
        <v/>
      </c>
      <c r="P43" s="48">
        <f>'Rev-Capacity'!P29</f>
        <v/>
      </c>
      <c r="Q43" s="48">
        <f>P43*(1+Q$10)*(1-Q$11)*IF(MOD((Q$7-13),12)=0,IF((Q$7-13)=12,Q$12,Q$13)*(1+Q$14),1)</f>
        <v/>
      </c>
      <c r="R43" s="48">
        <f>Q43*(1+R$10)*(1-R$11)*IF(MOD((R$7-13),12)=0,IF((R$7-13)=12,R$12,R$13)*(1+R$14),1)</f>
        <v/>
      </c>
      <c r="S43" s="48">
        <f>R43*(1+S$10)*(1-S$11)*IF(MOD((S$7-13),12)=0,IF((S$7-13)=12,S$12,S$13)*(1+S$14),1)</f>
        <v/>
      </c>
      <c r="T43" s="48">
        <f>S43*(1+T$10)*(1-T$11)*IF(MOD((T$7-13),12)=0,IF((T$7-13)=12,T$12,T$13)*(1+T$14),1)</f>
        <v/>
      </c>
      <c r="U43" s="48">
        <f>T43*(1+U$10)*(1-U$11)*IF(MOD((U$7-13),12)=0,IF((U$7-13)=12,U$12,U$13)*(1+U$14),1)</f>
        <v/>
      </c>
      <c r="V43" s="48">
        <f>U43*(1+V$10)*(1-V$11)*IF(MOD((V$7-13),12)=0,IF((V$7-13)=12,V$12,V$13)*(1+V$14),1)</f>
        <v/>
      </c>
      <c r="W43" s="48">
        <f>V43*(1+W$10)*(1-W$11)*IF(MOD((W$7-13),12)=0,IF((W$7-13)=12,W$12,W$13)*(1+W$14),1)</f>
        <v/>
      </c>
      <c r="X43" s="48">
        <f>W43*(1+X$10)*(1-X$11)*IF(MOD((X$7-13),12)=0,IF((X$7-13)=12,X$12,X$13)*(1+X$14),1)</f>
        <v/>
      </c>
      <c r="Y43" s="48">
        <f>X43*(1+Y$10)*(1-Y$11)*IF(MOD((Y$7-13),12)=0,IF((Y$7-13)=12,Y$12,Y$13)*(1+Y$14),1)</f>
        <v/>
      </c>
      <c r="Z43" s="48">
        <f>Y43*(1+Z$10)*(1-Z$11)*IF(MOD((Z$7-13),12)=0,IF((Z$7-13)=12,Z$12,Z$13)*(1+Z$14),1)</f>
        <v/>
      </c>
      <c r="AA43" s="48">
        <f>Z43*(1+AA$10)*(1-AA$11)*IF(MOD((AA$7-13),12)=0,IF((AA$7-13)=12,AA$12,AA$13)*(1+AA$14),1)</f>
        <v/>
      </c>
      <c r="AB43" s="48">
        <f>AA43*(1+AB$10)*(1-AB$11)*IF(MOD((AB$7-13),12)=0,IF((AB$7-13)=12,AB$12,AB$13)*(1+AB$14),1)</f>
        <v/>
      </c>
      <c r="AC43" s="48">
        <f>AB43*(1+AC$10)*(1-AC$11)*IF(MOD((AC$7-13),12)=0,IF((AC$7-13)=12,AC$12,AC$13)*(1+AC$14),1)</f>
        <v/>
      </c>
      <c r="AD43" s="48">
        <f>AC43*(1+AD$10)*(1-AD$11)*IF(MOD((AD$7-13),12)=0,IF((AD$7-13)=12,AD$12,AD$13)*(1+AD$14),1)</f>
        <v/>
      </c>
      <c r="AE43" s="48">
        <f>AD43*(1+AE$10)*(1-AE$11)*IF(MOD((AE$7-13),12)=0,IF((AE$7-13)=12,AE$12,AE$13)*(1+AE$14),1)</f>
        <v/>
      </c>
      <c r="AF43" s="48">
        <f>AE43*(1+AF$10)*(1-AF$11)*IF(MOD((AF$7-13),12)=0,IF((AF$7-13)=12,AF$12,AF$13)*(1+AF$14),1)</f>
        <v/>
      </c>
      <c r="AG43" s="48">
        <f>AF43*(1+AG$10)*(1-AG$11)*IF(MOD((AG$7-13),12)=0,IF((AG$7-13)=12,AG$12,AG$13)*(1+AG$14),1)</f>
        <v/>
      </c>
      <c r="AH43" s="48">
        <f>AG43*(1+AH$10)*(1-AH$11)*IF(MOD((AH$7-13),12)=0,IF((AH$7-13)=12,AH$12,AH$13)*(1+AH$14),1)</f>
        <v/>
      </c>
      <c r="AI43" s="48">
        <f>AH43*(1+AI$10)*(1-AI$11)*IF(MOD((AI$7-13),12)=0,IF((AI$7-13)=12,AI$12,AI$13)*(1+AI$14),1)</f>
        <v/>
      </c>
      <c r="AJ43" s="48">
        <f>AI43*(1+AJ$10)*(1-AJ$11)*IF(MOD((AJ$7-13),12)=0,IF((AJ$7-13)=12,AJ$12,AJ$13)*(1+AJ$14),1)</f>
        <v/>
      </c>
      <c r="AK43" s="48">
        <f>AJ43*(1+AK$10)*(1-AK$11)*IF(MOD((AK$7-13),12)=0,IF((AK$7-13)=12,AK$12,AK$13)*(1+AK$14),1)</f>
        <v/>
      </c>
      <c r="AL43" s="48">
        <f>AK43*(1+AL$10)*(1-AL$11)*IF(MOD((AL$7-13),12)=0,IF((AL$7-13)=12,AL$12,AL$13)*(1+AL$14),1)</f>
        <v/>
      </c>
      <c r="AM43" s="48">
        <f>AL43*(1+AM$10)*(1-AM$11)*IF(MOD((AM$7-13),12)=0,IF((AM$7-13)=12,AM$12,AM$13)*(1+AM$14),1)</f>
        <v/>
      </c>
      <c r="AN43" s="48">
        <f>AM43*(1+AN$10)*(1-AN$11)*IF(MOD((AN$7-13),12)=0,IF((AN$7-13)=12,AN$12,AN$13)*(1+AN$14),1)</f>
        <v/>
      </c>
      <c r="AO43" s="48">
        <f>AN43*(1+AO$10)*(1-AO$11)*IF(MOD((AO$7-13),12)=0,IF((AO$7-13)=12,AO$12,AO$13)*(1+AO$14),1)</f>
        <v/>
      </c>
      <c r="AP43" s="48">
        <f>AO43*(1+AP$10)*(1-AP$11)*IF(MOD((AP$7-13),12)=0,IF((AP$7-13)=12,AP$12,AP$13)*(1+AP$14),1)</f>
        <v/>
      </c>
      <c r="AQ43" s="48">
        <f>AP43*(1+AQ$10)*(1-AQ$11)*IF(MOD((AQ$7-13),12)=0,IF((AQ$7-13)=12,AQ$12,AQ$13)*(1+AQ$14),1)</f>
        <v/>
      </c>
      <c r="AR43" s="48">
        <f>AQ43*(1+AR$10)*(1-AR$11)*IF(MOD((AR$7-13),12)=0,IF((AR$7-13)=12,AR$12,AR$13)*(1+AR$14),1)</f>
        <v/>
      </c>
      <c r="AS43" s="48">
        <f>AR43*(1+AS$10)*(1-AS$11)*IF(MOD((AS$7-13),12)=0,IF((AS$7-13)=12,AS$12,AS$13)*(1+AS$14),1)</f>
        <v/>
      </c>
      <c r="AT43" s="48">
        <f>AS43*(1+AT$10)*(1-AT$11)*IF(MOD((AT$7-13),12)=0,IF((AT$7-13)=12,AT$12,AT$13)*(1+AT$14),1)</f>
        <v/>
      </c>
      <c r="AU43" s="48">
        <f>AT43*(1+AU$10)*(1-AU$11)*IF(MOD((AU$7-13),12)=0,IF((AU$7-13)=12,AU$12,AU$13)*(1+AU$14),1)</f>
        <v/>
      </c>
      <c r="AV43" s="48">
        <f>AU43*(1+AV$10)*(1-AV$11)*IF(MOD((AV$7-13),12)=0,IF((AV$7-13)=12,AV$12,AV$13)*(1+AV$14),1)</f>
        <v/>
      </c>
      <c r="AW43" s="48">
        <f>AV43*(1+AW$10)*(1-AW$11)*IF(MOD((AW$7-13),12)=0,IF((AW$7-13)=12,AW$12,AW$13)*(1+AW$14),1)</f>
        <v/>
      </c>
      <c r="AX43" s="48">
        <f>AW43*(1+AX$10)*(1-AX$11)*IF(MOD((AX$7-13),12)=0,IF((AX$7-13)=12,AX$12,AX$13)*(1+AX$14),1)</f>
        <v/>
      </c>
      <c r="AY43" s="48">
        <f>AX43*(1+AY$10)*(1-AY$11)*IF(MOD((AY$7-13),12)=0,IF((AY$7-13)=12,AY$12,AY$13)*(1+AY$14),1)</f>
        <v/>
      </c>
      <c r="AZ43" s="48">
        <f>AY43*(1+AZ$10)*(1-AZ$11)*IF(MOD((AZ$7-13),12)=0,IF((AZ$7-13)=12,AZ$12,AZ$13)*(1+AZ$14),1)</f>
        <v/>
      </c>
      <c r="BA43" s="48">
        <f>AZ43*(1+BA$10)*(1-BA$11)*IF(MOD((BA$7-13),12)=0,IF((BA$7-13)=12,BA$12,BA$13)*(1+BA$14),1)</f>
        <v/>
      </c>
      <c r="BB43" s="48">
        <f>BA43*(1+BB$10)*(1-BB$11)*IF(MOD((BB$7-13),12)=0,IF((BB$7-13)=12,BB$12,BB$13)*(1+BB$14),1)</f>
        <v/>
      </c>
      <c r="BC43" s="48">
        <f>BB43*(1+BC$10)*(1-BC$11)*IF(MOD((BC$7-13),12)=0,IF((BC$7-13)=12,BC$12,BC$13)*(1+BC$14),1)</f>
        <v/>
      </c>
      <c r="BD43" s="48">
        <f>BC43*(1+BD$10)*(1-BD$11)*IF(MOD((BD$7-13),12)=0,IF((BD$7-13)=12,BD$12,BD$13)*(1+BD$14),1)</f>
        <v/>
      </c>
      <c r="BE43" s="48">
        <f>BD43*(1+BE$10)*(1-BE$11)*IF(MOD((BE$7-13),12)=0,IF((BE$7-13)=12,BE$12,BE$13)*(1+BE$14),1)</f>
        <v/>
      </c>
      <c r="BF43" s="48">
        <f>BE43*(1+BF$10)*(1-BF$11)*IF(MOD((BF$7-13),12)=0,IF((BF$7-13)=12,BF$12,BF$13)*(1+BF$14),1)</f>
        <v/>
      </c>
      <c r="BG43" s="48">
        <f>BF43*(1+BG$10)*(1-BG$11)*IF(MOD((BG$7-13),12)=0,IF((BG$7-13)=12,BG$12,BG$13)*(1+BG$14),1)</f>
        <v/>
      </c>
      <c r="BH43" s="48">
        <f>BG43*(1+BH$10)*(1-BH$11)*IF(MOD((BH$7-13),12)=0,IF((BH$7-13)=12,BH$12,BH$13)*(1+BH$14),1)</f>
        <v/>
      </c>
      <c r="BI43" s="48">
        <f>BH43*(1+BI$10)*(1-BI$11)*IF(MOD((BI$7-13),12)=0,IF((BI$7-13)=12,BI$12,BI$13)*(1+BI$14),1)</f>
        <v/>
      </c>
      <c r="BJ43" s="48">
        <f>BI43*(1+BJ$10)*(1-BJ$11)*IF(MOD((BJ$7-13),12)=0,IF((BJ$7-13)=12,BJ$12,BJ$13)*(1+BJ$14),1)</f>
        <v/>
      </c>
      <c r="BK43" s="48">
        <f>BJ43*(1+BK$10)*(1-BK$11)*IF(MOD((BK$7-13),12)=0,IF((BK$7-13)=12,BK$12,BK$13)*(1+BK$14),1)</f>
        <v/>
      </c>
    </row>
    <row r="44" hidden="1" outlineLevel="1">
      <c r="B44" s="18" t="inlineStr">
        <is>
          <t xml:space="preserve">    Cohort Feb-27</t>
        </is>
      </c>
      <c r="C44" s="19" t="inlineStr">
        <is>
          <t>$</t>
        </is>
      </c>
      <c r="D44" s="48">
        <f>0</f>
        <v/>
      </c>
      <c r="E44" s="48">
        <f>0</f>
        <v/>
      </c>
      <c r="F44" s="48">
        <f>0</f>
        <v/>
      </c>
      <c r="G44" s="48">
        <f>0</f>
        <v/>
      </c>
      <c r="H44" s="48">
        <f>0</f>
        <v/>
      </c>
      <c r="I44" s="48">
        <f>0</f>
        <v/>
      </c>
      <c r="J44" s="48">
        <f>0</f>
        <v/>
      </c>
      <c r="K44" s="48">
        <f>0</f>
        <v/>
      </c>
      <c r="L44" s="48">
        <f>0</f>
        <v/>
      </c>
      <c r="M44" s="48">
        <f>0</f>
        <v/>
      </c>
      <c r="N44" s="48">
        <f>0</f>
        <v/>
      </c>
      <c r="O44" s="48">
        <f>0</f>
        <v/>
      </c>
      <c r="P44" s="48">
        <f>0</f>
        <v/>
      </c>
      <c r="Q44" s="48">
        <f>'Rev-Capacity'!Q29</f>
        <v/>
      </c>
      <c r="R44" s="48">
        <f>Q44*(1+R$10)*(1-R$11)*IF(MOD((R$7-14),12)=0,IF((R$7-14)=12,R$12,R$13)*(1+R$14),1)</f>
        <v/>
      </c>
      <c r="S44" s="48">
        <f>R44*(1+S$10)*(1-S$11)*IF(MOD((S$7-14),12)=0,IF((S$7-14)=12,S$12,S$13)*(1+S$14),1)</f>
        <v/>
      </c>
      <c r="T44" s="48">
        <f>S44*(1+T$10)*(1-T$11)*IF(MOD((T$7-14),12)=0,IF((T$7-14)=12,T$12,T$13)*(1+T$14),1)</f>
        <v/>
      </c>
      <c r="U44" s="48">
        <f>T44*(1+U$10)*(1-U$11)*IF(MOD((U$7-14),12)=0,IF((U$7-14)=12,U$12,U$13)*(1+U$14),1)</f>
        <v/>
      </c>
      <c r="V44" s="48">
        <f>U44*(1+V$10)*(1-V$11)*IF(MOD((V$7-14),12)=0,IF((V$7-14)=12,V$12,V$13)*(1+V$14),1)</f>
        <v/>
      </c>
      <c r="W44" s="48">
        <f>V44*(1+W$10)*(1-W$11)*IF(MOD((W$7-14),12)=0,IF((W$7-14)=12,W$12,W$13)*(1+W$14),1)</f>
        <v/>
      </c>
      <c r="X44" s="48">
        <f>W44*(1+X$10)*(1-X$11)*IF(MOD((X$7-14),12)=0,IF((X$7-14)=12,X$12,X$13)*(1+X$14),1)</f>
        <v/>
      </c>
      <c r="Y44" s="48">
        <f>X44*(1+Y$10)*(1-Y$11)*IF(MOD((Y$7-14),12)=0,IF((Y$7-14)=12,Y$12,Y$13)*(1+Y$14),1)</f>
        <v/>
      </c>
      <c r="Z44" s="48">
        <f>Y44*(1+Z$10)*(1-Z$11)*IF(MOD((Z$7-14),12)=0,IF((Z$7-14)=12,Z$12,Z$13)*(1+Z$14),1)</f>
        <v/>
      </c>
      <c r="AA44" s="48">
        <f>Z44*(1+AA$10)*(1-AA$11)*IF(MOD((AA$7-14),12)=0,IF((AA$7-14)=12,AA$12,AA$13)*(1+AA$14),1)</f>
        <v/>
      </c>
      <c r="AB44" s="48">
        <f>AA44*(1+AB$10)*(1-AB$11)*IF(MOD((AB$7-14),12)=0,IF((AB$7-14)=12,AB$12,AB$13)*(1+AB$14),1)</f>
        <v/>
      </c>
      <c r="AC44" s="48">
        <f>AB44*(1+AC$10)*(1-AC$11)*IF(MOD((AC$7-14),12)=0,IF((AC$7-14)=12,AC$12,AC$13)*(1+AC$14),1)</f>
        <v/>
      </c>
      <c r="AD44" s="48">
        <f>AC44*(1+AD$10)*(1-AD$11)*IF(MOD((AD$7-14),12)=0,IF((AD$7-14)=12,AD$12,AD$13)*(1+AD$14),1)</f>
        <v/>
      </c>
      <c r="AE44" s="48">
        <f>AD44*(1+AE$10)*(1-AE$11)*IF(MOD((AE$7-14),12)=0,IF((AE$7-14)=12,AE$12,AE$13)*(1+AE$14),1)</f>
        <v/>
      </c>
      <c r="AF44" s="48">
        <f>AE44*(1+AF$10)*(1-AF$11)*IF(MOD((AF$7-14),12)=0,IF((AF$7-14)=12,AF$12,AF$13)*(1+AF$14),1)</f>
        <v/>
      </c>
      <c r="AG44" s="48">
        <f>AF44*(1+AG$10)*(1-AG$11)*IF(MOD((AG$7-14),12)=0,IF((AG$7-14)=12,AG$12,AG$13)*(1+AG$14),1)</f>
        <v/>
      </c>
      <c r="AH44" s="48">
        <f>AG44*(1+AH$10)*(1-AH$11)*IF(MOD((AH$7-14),12)=0,IF((AH$7-14)=12,AH$12,AH$13)*(1+AH$14),1)</f>
        <v/>
      </c>
      <c r="AI44" s="48">
        <f>AH44*(1+AI$10)*(1-AI$11)*IF(MOD((AI$7-14),12)=0,IF((AI$7-14)=12,AI$12,AI$13)*(1+AI$14),1)</f>
        <v/>
      </c>
      <c r="AJ44" s="48">
        <f>AI44*(1+AJ$10)*(1-AJ$11)*IF(MOD((AJ$7-14),12)=0,IF((AJ$7-14)=12,AJ$12,AJ$13)*(1+AJ$14),1)</f>
        <v/>
      </c>
      <c r="AK44" s="48">
        <f>AJ44*(1+AK$10)*(1-AK$11)*IF(MOD((AK$7-14),12)=0,IF((AK$7-14)=12,AK$12,AK$13)*(1+AK$14),1)</f>
        <v/>
      </c>
      <c r="AL44" s="48">
        <f>AK44*(1+AL$10)*(1-AL$11)*IF(MOD((AL$7-14),12)=0,IF((AL$7-14)=12,AL$12,AL$13)*(1+AL$14),1)</f>
        <v/>
      </c>
      <c r="AM44" s="48">
        <f>AL44*(1+AM$10)*(1-AM$11)*IF(MOD((AM$7-14),12)=0,IF((AM$7-14)=12,AM$12,AM$13)*(1+AM$14),1)</f>
        <v/>
      </c>
      <c r="AN44" s="48">
        <f>AM44*(1+AN$10)*(1-AN$11)*IF(MOD((AN$7-14),12)=0,IF((AN$7-14)=12,AN$12,AN$13)*(1+AN$14),1)</f>
        <v/>
      </c>
      <c r="AO44" s="48">
        <f>AN44*(1+AO$10)*(1-AO$11)*IF(MOD((AO$7-14),12)=0,IF((AO$7-14)=12,AO$12,AO$13)*(1+AO$14),1)</f>
        <v/>
      </c>
      <c r="AP44" s="48">
        <f>AO44*(1+AP$10)*(1-AP$11)*IF(MOD((AP$7-14),12)=0,IF((AP$7-14)=12,AP$12,AP$13)*(1+AP$14),1)</f>
        <v/>
      </c>
      <c r="AQ44" s="48">
        <f>AP44*(1+AQ$10)*(1-AQ$11)*IF(MOD((AQ$7-14),12)=0,IF((AQ$7-14)=12,AQ$12,AQ$13)*(1+AQ$14),1)</f>
        <v/>
      </c>
      <c r="AR44" s="48">
        <f>AQ44*(1+AR$10)*(1-AR$11)*IF(MOD((AR$7-14),12)=0,IF((AR$7-14)=12,AR$12,AR$13)*(1+AR$14),1)</f>
        <v/>
      </c>
      <c r="AS44" s="48">
        <f>AR44*(1+AS$10)*(1-AS$11)*IF(MOD((AS$7-14),12)=0,IF((AS$7-14)=12,AS$12,AS$13)*(1+AS$14),1)</f>
        <v/>
      </c>
      <c r="AT44" s="48">
        <f>AS44*(1+AT$10)*(1-AT$11)*IF(MOD((AT$7-14),12)=0,IF((AT$7-14)=12,AT$12,AT$13)*(1+AT$14),1)</f>
        <v/>
      </c>
      <c r="AU44" s="48">
        <f>AT44*(1+AU$10)*(1-AU$11)*IF(MOD((AU$7-14),12)=0,IF((AU$7-14)=12,AU$12,AU$13)*(1+AU$14),1)</f>
        <v/>
      </c>
      <c r="AV44" s="48">
        <f>AU44*(1+AV$10)*(1-AV$11)*IF(MOD((AV$7-14),12)=0,IF((AV$7-14)=12,AV$12,AV$13)*(1+AV$14),1)</f>
        <v/>
      </c>
      <c r="AW44" s="48">
        <f>AV44*(1+AW$10)*(1-AW$11)*IF(MOD((AW$7-14),12)=0,IF((AW$7-14)=12,AW$12,AW$13)*(1+AW$14),1)</f>
        <v/>
      </c>
      <c r="AX44" s="48">
        <f>AW44*(1+AX$10)*(1-AX$11)*IF(MOD((AX$7-14),12)=0,IF((AX$7-14)=12,AX$12,AX$13)*(1+AX$14),1)</f>
        <v/>
      </c>
      <c r="AY44" s="48">
        <f>AX44*(1+AY$10)*(1-AY$11)*IF(MOD((AY$7-14),12)=0,IF((AY$7-14)=12,AY$12,AY$13)*(1+AY$14),1)</f>
        <v/>
      </c>
      <c r="AZ44" s="48">
        <f>AY44*(1+AZ$10)*(1-AZ$11)*IF(MOD((AZ$7-14),12)=0,IF((AZ$7-14)=12,AZ$12,AZ$13)*(1+AZ$14),1)</f>
        <v/>
      </c>
      <c r="BA44" s="48">
        <f>AZ44*(1+BA$10)*(1-BA$11)*IF(MOD((BA$7-14),12)=0,IF((BA$7-14)=12,BA$12,BA$13)*(1+BA$14),1)</f>
        <v/>
      </c>
      <c r="BB44" s="48">
        <f>BA44*(1+BB$10)*(1-BB$11)*IF(MOD((BB$7-14),12)=0,IF((BB$7-14)=12,BB$12,BB$13)*(1+BB$14),1)</f>
        <v/>
      </c>
      <c r="BC44" s="48">
        <f>BB44*(1+BC$10)*(1-BC$11)*IF(MOD((BC$7-14),12)=0,IF((BC$7-14)=12,BC$12,BC$13)*(1+BC$14),1)</f>
        <v/>
      </c>
      <c r="BD44" s="48">
        <f>BC44*(1+BD$10)*(1-BD$11)*IF(MOD((BD$7-14),12)=0,IF((BD$7-14)=12,BD$12,BD$13)*(1+BD$14),1)</f>
        <v/>
      </c>
      <c r="BE44" s="48">
        <f>BD44*(1+BE$10)*(1-BE$11)*IF(MOD((BE$7-14),12)=0,IF((BE$7-14)=12,BE$12,BE$13)*(1+BE$14),1)</f>
        <v/>
      </c>
      <c r="BF44" s="48">
        <f>BE44*(1+BF$10)*(1-BF$11)*IF(MOD((BF$7-14),12)=0,IF((BF$7-14)=12,BF$12,BF$13)*(1+BF$14),1)</f>
        <v/>
      </c>
      <c r="BG44" s="48">
        <f>BF44*(1+BG$10)*(1-BG$11)*IF(MOD((BG$7-14),12)=0,IF((BG$7-14)=12,BG$12,BG$13)*(1+BG$14),1)</f>
        <v/>
      </c>
      <c r="BH44" s="48">
        <f>BG44*(1+BH$10)*(1-BH$11)*IF(MOD((BH$7-14),12)=0,IF((BH$7-14)=12,BH$12,BH$13)*(1+BH$14),1)</f>
        <v/>
      </c>
      <c r="BI44" s="48">
        <f>BH44*(1+BI$10)*(1-BI$11)*IF(MOD((BI$7-14),12)=0,IF((BI$7-14)=12,BI$12,BI$13)*(1+BI$14),1)</f>
        <v/>
      </c>
      <c r="BJ44" s="48">
        <f>BI44*(1+BJ$10)*(1-BJ$11)*IF(MOD((BJ$7-14),12)=0,IF((BJ$7-14)=12,BJ$12,BJ$13)*(1+BJ$14),1)</f>
        <v/>
      </c>
      <c r="BK44" s="48">
        <f>BJ44*(1+BK$10)*(1-BK$11)*IF(MOD((BK$7-14),12)=0,IF((BK$7-14)=12,BK$12,BK$13)*(1+BK$14),1)</f>
        <v/>
      </c>
    </row>
    <row r="45" hidden="1" outlineLevel="1">
      <c r="B45" s="18" t="inlineStr">
        <is>
          <t xml:space="preserve">    Cohort Mar-27</t>
        </is>
      </c>
      <c r="C45" s="19" t="inlineStr">
        <is>
          <t>$</t>
        </is>
      </c>
      <c r="D45" s="48">
        <f>0</f>
        <v/>
      </c>
      <c r="E45" s="48">
        <f>0</f>
        <v/>
      </c>
      <c r="F45" s="48">
        <f>0</f>
        <v/>
      </c>
      <c r="G45" s="48">
        <f>0</f>
        <v/>
      </c>
      <c r="H45" s="48">
        <f>0</f>
        <v/>
      </c>
      <c r="I45" s="48">
        <f>0</f>
        <v/>
      </c>
      <c r="J45" s="48">
        <f>0</f>
        <v/>
      </c>
      <c r="K45" s="48">
        <f>0</f>
        <v/>
      </c>
      <c r="L45" s="48">
        <f>0</f>
        <v/>
      </c>
      <c r="M45" s="48">
        <f>0</f>
        <v/>
      </c>
      <c r="N45" s="48">
        <f>0</f>
        <v/>
      </c>
      <c r="O45" s="48">
        <f>0</f>
        <v/>
      </c>
      <c r="P45" s="48">
        <f>0</f>
        <v/>
      </c>
      <c r="Q45" s="48">
        <f>0</f>
        <v/>
      </c>
      <c r="R45" s="48">
        <f>'Rev-Capacity'!R29</f>
        <v/>
      </c>
      <c r="S45" s="48">
        <f>R45*(1+S$10)*(1-S$11)*IF(MOD((S$7-15),12)=0,IF((S$7-15)=12,S$12,S$13)*(1+S$14),1)</f>
        <v/>
      </c>
      <c r="T45" s="48">
        <f>S45*(1+T$10)*(1-T$11)*IF(MOD((T$7-15),12)=0,IF((T$7-15)=12,T$12,T$13)*(1+T$14),1)</f>
        <v/>
      </c>
      <c r="U45" s="48">
        <f>T45*(1+U$10)*(1-U$11)*IF(MOD((U$7-15),12)=0,IF((U$7-15)=12,U$12,U$13)*(1+U$14),1)</f>
        <v/>
      </c>
      <c r="V45" s="48">
        <f>U45*(1+V$10)*(1-V$11)*IF(MOD((V$7-15),12)=0,IF((V$7-15)=12,V$12,V$13)*(1+V$14),1)</f>
        <v/>
      </c>
      <c r="W45" s="48">
        <f>V45*(1+W$10)*(1-W$11)*IF(MOD((W$7-15),12)=0,IF((W$7-15)=12,W$12,W$13)*(1+W$14),1)</f>
        <v/>
      </c>
      <c r="X45" s="48">
        <f>W45*(1+X$10)*(1-X$11)*IF(MOD((X$7-15),12)=0,IF((X$7-15)=12,X$12,X$13)*(1+X$14),1)</f>
        <v/>
      </c>
      <c r="Y45" s="48">
        <f>X45*(1+Y$10)*(1-Y$11)*IF(MOD((Y$7-15),12)=0,IF((Y$7-15)=12,Y$12,Y$13)*(1+Y$14),1)</f>
        <v/>
      </c>
      <c r="Z45" s="48">
        <f>Y45*(1+Z$10)*(1-Z$11)*IF(MOD((Z$7-15),12)=0,IF((Z$7-15)=12,Z$12,Z$13)*(1+Z$14),1)</f>
        <v/>
      </c>
      <c r="AA45" s="48">
        <f>Z45*(1+AA$10)*(1-AA$11)*IF(MOD((AA$7-15),12)=0,IF((AA$7-15)=12,AA$12,AA$13)*(1+AA$14),1)</f>
        <v/>
      </c>
      <c r="AB45" s="48">
        <f>AA45*(1+AB$10)*(1-AB$11)*IF(MOD((AB$7-15),12)=0,IF((AB$7-15)=12,AB$12,AB$13)*(1+AB$14),1)</f>
        <v/>
      </c>
      <c r="AC45" s="48">
        <f>AB45*(1+AC$10)*(1-AC$11)*IF(MOD((AC$7-15),12)=0,IF((AC$7-15)=12,AC$12,AC$13)*(1+AC$14),1)</f>
        <v/>
      </c>
      <c r="AD45" s="48">
        <f>AC45*(1+AD$10)*(1-AD$11)*IF(MOD((AD$7-15),12)=0,IF((AD$7-15)=12,AD$12,AD$13)*(1+AD$14),1)</f>
        <v/>
      </c>
      <c r="AE45" s="48">
        <f>AD45*(1+AE$10)*(1-AE$11)*IF(MOD((AE$7-15),12)=0,IF((AE$7-15)=12,AE$12,AE$13)*(1+AE$14),1)</f>
        <v/>
      </c>
      <c r="AF45" s="48">
        <f>AE45*(1+AF$10)*(1-AF$11)*IF(MOD((AF$7-15),12)=0,IF((AF$7-15)=12,AF$12,AF$13)*(1+AF$14),1)</f>
        <v/>
      </c>
      <c r="AG45" s="48">
        <f>AF45*(1+AG$10)*(1-AG$11)*IF(MOD((AG$7-15),12)=0,IF((AG$7-15)=12,AG$12,AG$13)*(1+AG$14),1)</f>
        <v/>
      </c>
      <c r="AH45" s="48">
        <f>AG45*(1+AH$10)*(1-AH$11)*IF(MOD((AH$7-15),12)=0,IF((AH$7-15)=12,AH$12,AH$13)*(1+AH$14),1)</f>
        <v/>
      </c>
      <c r="AI45" s="48">
        <f>AH45*(1+AI$10)*(1-AI$11)*IF(MOD((AI$7-15),12)=0,IF((AI$7-15)=12,AI$12,AI$13)*(1+AI$14),1)</f>
        <v/>
      </c>
      <c r="AJ45" s="48">
        <f>AI45*(1+AJ$10)*(1-AJ$11)*IF(MOD((AJ$7-15),12)=0,IF((AJ$7-15)=12,AJ$12,AJ$13)*(1+AJ$14),1)</f>
        <v/>
      </c>
      <c r="AK45" s="48">
        <f>AJ45*(1+AK$10)*(1-AK$11)*IF(MOD((AK$7-15),12)=0,IF((AK$7-15)=12,AK$12,AK$13)*(1+AK$14),1)</f>
        <v/>
      </c>
      <c r="AL45" s="48">
        <f>AK45*(1+AL$10)*(1-AL$11)*IF(MOD((AL$7-15),12)=0,IF((AL$7-15)=12,AL$12,AL$13)*(1+AL$14),1)</f>
        <v/>
      </c>
      <c r="AM45" s="48">
        <f>AL45*(1+AM$10)*(1-AM$11)*IF(MOD((AM$7-15),12)=0,IF((AM$7-15)=12,AM$12,AM$13)*(1+AM$14),1)</f>
        <v/>
      </c>
      <c r="AN45" s="48">
        <f>AM45*(1+AN$10)*(1-AN$11)*IF(MOD((AN$7-15),12)=0,IF((AN$7-15)=12,AN$12,AN$13)*(1+AN$14),1)</f>
        <v/>
      </c>
      <c r="AO45" s="48">
        <f>AN45*(1+AO$10)*(1-AO$11)*IF(MOD((AO$7-15),12)=0,IF((AO$7-15)=12,AO$12,AO$13)*(1+AO$14),1)</f>
        <v/>
      </c>
      <c r="AP45" s="48">
        <f>AO45*(1+AP$10)*(1-AP$11)*IF(MOD((AP$7-15),12)=0,IF((AP$7-15)=12,AP$12,AP$13)*(1+AP$14),1)</f>
        <v/>
      </c>
      <c r="AQ45" s="48">
        <f>AP45*(1+AQ$10)*(1-AQ$11)*IF(MOD((AQ$7-15),12)=0,IF((AQ$7-15)=12,AQ$12,AQ$13)*(1+AQ$14),1)</f>
        <v/>
      </c>
      <c r="AR45" s="48">
        <f>AQ45*(1+AR$10)*(1-AR$11)*IF(MOD((AR$7-15),12)=0,IF((AR$7-15)=12,AR$12,AR$13)*(1+AR$14),1)</f>
        <v/>
      </c>
      <c r="AS45" s="48">
        <f>AR45*(1+AS$10)*(1-AS$11)*IF(MOD((AS$7-15),12)=0,IF((AS$7-15)=12,AS$12,AS$13)*(1+AS$14),1)</f>
        <v/>
      </c>
      <c r="AT45" s="48">
        <f>AS45*(1+AT$10)*(1-AT$11)*IF(MOD((AT$7-15),12)=0,IF((AT$7-15)=12,AT$12,AT$13)*(1+AT$14),1)</f>
        <v/>
      </c>
      <c r="AU45" s="48">
        <f>AT45*(1+AU$10)*(1-AU$11)*IF(MOD((AU$7-15),12)=0,IF((AU$7-15)=12,AU$12,AU$13)*(1+AU$14),1)</f>
        <v/>
      </c>
      <c r="AV45" s="48">
        <f>AU45*(1+AV$10)*(1-AV$11)*IF(MOD((AV$7-15),12)=0,IF((AV$7-15)=12,AV$12,AV$13)*(1+AV$14),1)</f>
        <v/>
      </c>
      <c r="AW45" s="48">
        <f>AV45*(1+AW$10)*(1-AW$11)*IF(MOD((AW$7-15),12)=0,IF((AW$7-15)=12,AW$12,AW$13)*(1+AW$14),1)</f>
        <v/>
      </c>
      <c r="AX45" s="48">
        <f>AW45*(1+AX$10)*(1-AX$11)*IF(MOD((AX$7-15),12)=0,IF((AX$7-15)=12,AX$12,AX$13)*(1+AX$14),1)</f>
        <v/>
      </c>
      <c r="AY45" s="48">
        <f>AX45*(1+AY$10)*(1-AY$11)*IF(MOD((AY$7-15),12)=0,IF((AY$7-15)=12,AY$12,AY$13)*(1+AY$14),1)</f>
        <v/>
      </c>
      <c r="AZ45" s="48">
        <f>AY45*(1+AZ$10)*(1-AZ$11)*IF(MOD((AZ$7-15),12)=0,IF((AZ$7-15)=12,AZ$12,AZ$13)*(1+AZ$14),1)</f>
        <v/>
      </c>
      <c r="BA45" s="48">
        <f>AZ45*(1+BA$10)*(1-BA$11)*IF(MOD((BA$7-15),12)=0,IF((BA$7-15)=12,BA$12,BA$13)*(1+BA$14),1)</f>
        <v/>
      </c>
      <c r="BB45" s="48">
        <f>BA45*(1+BB$10)*(1-BB$11)*IF(MOD((BB$7-15),12)=0,IF((BB$7-15)=12,BB$12,BB$13)*(1+BB$14),1)</f>
        <v/>
      </c>
      <c r="BC45" s="48">
        <f>BB45*(1+BC$10)*(1-BC$11)*IF(MOD((BC$7-15),12)=0,IF((BC$7-15)=12,BC$12,BC$13)*(1+BC$14),1)</f>
        <v/>
      </c>
      <c r="BD45" s="48">
        <f>BC45*(1+BD$10)*(1-BD$11)*IF(MOD((BD$7-15),12)=0,IF((BD$7-15)=12,BD$12,BD$13)*(1+BD$14),1)</f>
        <v/>
      </c>
      <c r="BE45" s="48">
        <f>BD45*(1+BE$10)*(1-BE$11)*IF(MOD((BE$7-15),12)=0,IF((BE$7-15)=12,BE$12,BE$13)*(1+BE$14),1)</f>
        <v/>
      </c>
      <c r="BF45" s="48">
        <f>BE45*(1+BF$10)*(1-BF$11)*IF(MOD((BF$7-15),12)=0,IF((BF$7-15)=12,BF$12,BF$13)*(1+BF$14),1)</f>
        <v/>
      </c>
      <c r="BG45" s="48">
        <f>BF45*(1+BG$10)*(1-BG$11)*IF(MOD((BG$7-15),12)=0,IF((BG$7-15)=12,BG$12,BG$13)*(1+BG$14),1)</f>
        <v/>
      </c>
      <c r="BH45" s="48">
        <f>BG45*(1+BH$10)*(1-BH$11)*IF(MOD((BH$7-15),12)=0,IF((BH$7-15)=12,BH$12,BH$13)*(1+BH$14),1)</f>
        <v/>
      </c>
      <c r="BI45" s="48">
        <f>BH45*(1+BI$10)*(1-BI$11)*IF(MOD((BI$7-15),12)=0,IF((BI$7-15)=12,BI$12,BI$13)*(1+BI$14),1)</f>
        <v/>
      </c>
      <c r="BJ45" s="48">
        <f>BI45*(1+BJ$10)*(1-BJ$11)*IF(MOD((BJ$7-15),12)=0,IF((BJ$7-15)=12,BJ$12,BJ$13)*(1+BJ$14),1)</f>
        <v/>
      </c>
      <c r="BK45" s="48">
        <f>BJ45*(1+BK$10)*(1-BK$11)*IF(MOD((BK$7-15),12)=0,IF((BK$7-15)=12,BK$12,BK$13)*(1+BK$14),1)</f>
        <v/>
      </c>
    </row>
    <row r="46" hidden="1" outlineLevel="1">
      <c r="B46" s="18" t="inlineStr">
        <is>
          <t xml:space="preserve">    Cohort Apr-27</t>
        </is>
      </c>
      <c r="C46" s="19" t="inlineStr">
        <is>
          <t>$</t>
        </is>
      </c>
      <c r="D46" s="48">
        <f>0</f>
        <v/>
      </c>
      <c r="E46" s="48">
        <f>0</f>
        <v/>
      </c>
      <c r="F46" s="48">
        <f>0</f>
        <v/>
      </c>
      <c r="G46" s="48">
        <f>0</f>
        <v/>
      </c>
      <c r="H46" s="48">
        <f>0</f>
        <v/>
      </c>
      <c r="I46" s="48">
        <f>0</f>
        <v/>
      </c>
      <c r="J46" s="48">
        <f>0</f>
        <v/>
      </c>
      <c r="K46" s="48">
        <f>0</f>
        <v/>
      </c>
      <c r="L46" s="48">
        <f>0</f>
        <v/>
      </c>
      <c r="M46" s="48">
        <f>0</f>
        <v/>
      </c>
      <c r="N46" s="48">
        <f>0</f>
        <v/>
      </c>
      <c r="O46" s="48">
        <f>0</f>
        <v/>
      </c>
      <c r="P46" s="48">
        <f>0</f>
        <v/>
      </c>
      <c r="Q46" s="48">
        <f>0</f>
        <v/>
      </c>
      <c r="R46" s="48">
        <f>0</f>
        <v/>
      </c>
      <c r="S46" s="48">
        <f>'Rev-Capacity'!S29</f>
        <v/>
      </c>
      <c r="T46" s="48">
        <f>S46*(1+T$10)*(1-T$11)*IF(MOD((T$7-16),12)=0,IF((T$7-16)=12,T$12,T$13)*(1+T$14),1)</f>
        <v/>
      </c>
      <c r="U46" s="48">
        <f>T46*(1+U$10)*(1-U$11)*IF(MOD((U$7-16),12)=0,IF((U$7-16)=12,U$12,U$13)*(1+U$14),1)</f>
        <v/>
      </c>
      <c r="V46" s="48">
        <f>U46*(1+V$10)*(1-V$11)*IF(MOD((V$7-16),12)=0,IF((V$7-16)=12,V$12,V$13)*(1+V$14),1)</f>
        <v/>
      </c>
      <c r="W46" s="48">
        <f>V46*(1+W$10)*(1-W$11)*IF(MOD((W$7-16),12)=0,IF((W$7-16)=12,W$12,W$13)*(1+W$14),1)</f>
        <v/>
      </c>
      <c r="X46" s="48">
        <f>W46*(1+X$10)*(1-X$11)*IF(MOD((X$7-16),12)=0,IF((X$7-16)=12,X$12,X$13)*(1+X$14),1)</f>
        <v/>
      </c>
      <c r="Y46" s="48">
        <f>X46*(1+Y$10)*(1-Y$11)*IF(MOD((Y$7-16),12)=0,IF((Y$7-16)=12,Y$12,Y$13)*(1+Y$14),1)</f>
        <v/>
      </c>
      <c r="Z46" s="48">
        <f>Y46*(1+Z$10)*(1-Z$11)*IF(MOD((Z$7-16),12)=0,IF((Z$7-16)=12,Z$12,Z$13)*(1+Z$14),1)</f>
        <v/>
      </c>
      <c r="AA46" s="48">
        <f>Z46*(1+AA$10)*(1-AA$11)*IF(MOD((AA$7-16),12)=0,IF((AA$7-16)=12,AA$12,AA$13)*(1+AA$14),1)</f>
        <v/>
      </c>
      <c r="AB46" s="48">
        <f>AA46*(1+AB$10)*(1-AB$11)*IF(MOD((AB$7-16),12)=0,IF((AB$7-16)=12,AB$12,AB$13)*(1+AB$14),1)</f>
        <v/>
      </c>
      <c r="AC46" s="48">
        <f>AB46*(1+AC$10)*(1-AC$11)*IF(MOD((AC$7-16),12)=0,IF((AC$7-16)=12,AC$12,AC$13)*(1+AC$14),1)</f>
        <v/>
      </c>
      <c r="AD46" s="48">
        <f>AC46*(1+AD$10)*(1-AD$11)*IF(MOD((AD$7-16),12)=0,IF((AD$7-16)=12,AD$12,AD$13)*(1+AD$14),1)</f>
        <v/>
      </c>
      <c r="AE46" s="48">
        <f>AD46*(1+AE$10)*(1-AE$11)*IF(MOD((AE$7-16),12)=0,IF((AE$7-16)=12,AE$12,AE$13)*(1+AE$14),1)</f>
        <v/>
      </c>
      <c r="AF46" s="48">
        <f>AE46*(1+AF$10)*(1-AF$11)*IF(MOD((AF$7-16),12)=0,IF((AF$7-16)=12,AF$12,AF$13)*(1+AF$14),1)</f>
        <v/>
      </c>
      <c r="AG46" s="48">
        <f>AF46*(1+AG$10)*(1-AG$11)*IF(MOD((AG$7-16),12)=0,IF((AG$7-16)=12,AG$12,AG$13)*(1+AG$14),1)</f>
        <v/>
      </c>
      <c r="AH46" s="48">
        <f>AG46*(1+AH$10)*(1-AH$11)*IF(MOD((AH$7-16),12)=0,IF((AH$7-16)=12,AH$12,AH$13)*(1+AH$14),1)</f>
        <v/>
      </c>
      <c r="AI46" s="48">
        <f>AH46*(1+AI$10)*(1-AI$11)*IF(MOD((AI$7-16),12)=0,IF((AI$7-16)=12,AI$12,AI$13)*(1+AI$14),1)</f>
        <v/>
      </c>
      <c r="AJ46" s="48">
        <f>AI46*(1+AJ$10)*(1-AJ$11)*IF(MOD((AJ$7-16),12)=0,IF((AJ$7-16)=12,AJ$12,AJ$13)*(1+AJ$14),1)</f>
        <v/>
      </c>
      <c r="AK46" s="48">
        <f>AJ46*(1+AK$10)*(1-AK$11)*IF(MOD((AK$7-16),12)=0,IF((AK$7-16)=12,AK$12,AK$13)*(1+AK$14),1)</f>
        <v/>
      </c>
      <c r="AL46" s="48">
        <f>AK46*(1+AL$10)*(1-AL$11)*IF(MOD((AL$7-16),12)=0,IF((AL$7-16)=12,AL$12,AL$13)*(1+AL$14),1)</f>
        <v/>
      </c>
      <c r="AM46" s="48">
        <f>AL46*(1+AM$10)*(1-AM$11)*IF(MOD((AM$7-16),12)=0,IF((AM$7-16)=12,AM$12,AM$13)*(1+AM$14),1)</f>
        <v/>
      </c>
      <c r="AN46" s="48">
        <f>AM46*(1+AN$10)*(1-AN$11)*IF(MOD((AN$7-16),12)=0,IF((AN$7-16)=12,AN$12,AN$13)*(1+AN$14),1)</f>
        <v/>
      </c>
      <c r="AO46" s="48">
        <f>AN46*(1+AO$10)*(1-AO$11)*IF(MOD((AO$7-16),12)=0,IF((AO$7-16)=12,AO$12,AO$13)*(1+AO$14),1)</f>
        <v/>
      </c>
      <c r="AP46" s="48">
        <f>AO46*(1+AP$10)*(1-AP$11)*IF(MOD((AP$7-16),12)=0,IF((AP$7-16)=12,AP$12,AP$13)*(1+AP$14),1)</f>
        <v/>
      </c>
      <c r="AQ46" s="48">
        <f>AP46*(1+AQ$10)*(1-AQ$11)*IF(MOD((AQ$7-16),12)=0,IF((AQ$7-16)=12,AQ$12,AQ$13)*(1+AQ$14),1)</f>
        <v/>
      </c>
      <c r="AR46" s="48">
        <f>AQ46*(1+AR$10)*(1-AR$11)*IF(MOD((AR$7-16),12)=0,IF((AR$7-16)=12,AR$12,AR$13)*(1+AR$14),1)</f>
        <v/>
      </c>
      <c r="AS46" s="48">
        <f>AR46*(1+AS$10)*(1-AS$11)*IF(MOD((AS$7-16),12)=0,IF((AS$7-16)=12,AS$12,AS$13)*(1+AS$14),1)</f>
        <v/>
      </c>
      <c r="AT46" s="48">
        <f>AS46*(1+AT$10)*(1-AT$11)*IF(MOD((AT$7-16),12)=0,IF((AT$7-16)=12,AT$12,AT$13)*(1+AT$14),1)</f>
        <v/>
      </c>
      <c r="AU46" s="48">
        <f>AT46*(1+AU$10)*(1-AU$11)*IF(MOD((AU$7-16),12)=0,IF((AU$7-16)=12,AU$12,AU$13)*(1+AU$14),1)</f>
        <v/>
      </c>
      <c r="AV46" s="48">
        <f>AU46*(1+AV$10)*(1-AV$11)*IF(MOD((AV$7-16),12)=0,IF((AV$7-16)=12,AV$12,AV$13)*(1+AV$14),1)</f>
        <v/>
      </c>
      <c r="AW46" s="48">
        <f>AV46*(1+AW$10)*(1-AW$11)*IF(MOD((AW$7-16),12)=0,IF((AW$7-16)=12,AW$12,AW$13)*(1+AW$14),1)</f>
        <v/>
      </c>
      <c r="AX46" s="48">
        <f>AW46*(1+AX$10)*(1-AX$11)*IF(MOD((AX$7-16),12)=0,IF((AX$7-16)=12,AX$12,AX$13)*(1+AX$14),1)</f>
        <v/>
      </c>
      <c r="AY46" s="48">
        <f>AX46*(1+AY$10)*(1-AY$11)*IF(MOD((AY$7-16),12)=0,IF((AY$7-16)=12,AY$12,AY$13)*(1+AY$14),1)</f>
        <v/>
      </c>
      <c r="AZ46" s="48">
        <f>AY46*(1+AZ$10)*(1-AZ$11)*IF(MOD((AZ$7-16),12)=0,IF((AZ$7-16)=12,AZ$12,AZ$13)*(1+AZ$14),1)</f>
        <v/>
      </c>
      <c r="BA46" s="48">
        <f>AZ46*(1+BA$10)*(1-BA$11)*IF(MOD((BA$7-16),12)=0,IF((BA$7-16)=12,BA$12,BA$13)*(1+BA$14),1)</f>
        <v/>
      </c>
      <c r="BB46" s="48">
        <f>BA46*(1+BB$10)*(1-BB$11)*IF(MOD((BB$7-16),12)=0,IF((BB$7-16)=12,BB$12,BB$13)*(1+BB$14),1)</f>
        <v/>
      </c>
      <c r="BC46" s="48">
        <f>BB46*(1+BC$10)*(1-BC$11)*IF(MOD((BC$7-16),12)=0,IF((BC$7-16)=12,BC$12,BC$13)*(1+BC$14),1)</f>
        <v/>
      </c>
      <c r="BD46" s="48">
        <f>BC46*(1+BD$10)*(1-BD$11)*IF(MOD((BD$7-16),12)=0,IF((BD$7-16)=12,BD$12,BD$13)*(1+BD$14),1)</f>
        <v/>
      </c>
      <c r="BE46" s="48">
        <f>BD46*(1+BE$10)*(1-BE$11)*IF(MOD((BE$7-16),12)=0,IF((BE$7-16)=12,BE$12,BE$13)*(1+BE$14),1)</f>
        <v/>
      </c>
      <c r="BF46" s="48">
        <f>BE46*(1+BF$10)*(1-BF$11)*IF(MOD((BF$7-16),12)=0,IF((BF$7-16)=12,BF$12,BF$13)*(1+BF$14),1)</f>
        <v/>
      </c>
      <c r="BG46" s="48">
        <f>BF46*(1+BG$10)*(1-BG$11)*IF(MOD((BG$7-16),12)=0,IF((BG$7-16)=12,BG$12,BG$13)*(1+BG$14),1)</f>
        <v/>
      </c>
      <c r="BH46" s="48">
        <f>BG46*(1+BH$10)*(1-BH$11)*IF(MOD((BH$7-16),12)=0,IF((BH$7-16)=12,BH$12,BH$13)*(1+BH$14),1)</f>
        <v/>
      </c>
      <c r="BI46" s="48">
        <f>BH46*(1+BI$10)*(1-BI$11)*IF(MOD((BI$7-16),12)=0,IF((BI$7-16)=12,BI$12,BI$13)*(1+BI$14),1)</f>
        <v/>
      </c>
      <c r="BJ46" s="48">
        <f>BI46*(1+BJ$10)*(1-BJ$11)*IF(MOD((BJ$7-16),12)=0,IF((BJ$7-16)=12,BJ$12,BJ$13)*(1+BJ$14),1)</f>
        <v/>
      </c>
      <c r="BK46" s="48">
        <f>BJ46*(1+BK$10)*(1-BK$11)*IF(MOD((BK$7-16),12)=0,IF((BK$7-16)=12,BK$12,BK$13)*(1+BK$14),1)</f>
        <v/>
      </c>
    </row>
    <row r="47" hidden="1" outlineLevel="1">
      <c r="B47" s="18" t="inlineStr">
        <is>
          <t xml:space="preserve">    Cohort May-27</t>
        </is>
      </c>
      <c r="C47" s="19" t="inlineStr">
        <is>
          <t>$</t>
        </is>
      </c>
      <c r="D47" s="48">
        <f>0</f>
        <v/>
      </c>
      <c r="E47" s="48">
        <f>0</f>
        <v/>
      </c>
      <c r="F47" s="48">
        <f>0</f>
        <v/>
      </c>
      <c r="G47" s="48">
        <f>0</f>
        <v/>
      </c>
      <c r="H47" s="48">
        <f>0</f>
        <v/>
      </c>
      <c r="I47" s="48">
        <f>0</f>
        <v/>
      </c>
      <c r="J47" s="48">
        <f>0</f>
        <v/>
      </c>
      <c r="K47" s="48">
        <f>0</f>
        <v/>
      </c>
      <c r="L47" s="48">
        <f>0</f>
        <v/>
      </c>
      <c r="M47" s="48">
        <f>0</f>
        <v/>
      </c>
      <c r="N47" s="48">
        <f>0</f>
        <v/>
      </c>
      <c r="O47" s="48">
        <f>0</f>
        <v/>
      </c>
      <c r="P47" s="48">
        <f>0</f>
        <v/>
      </c>
      <c r="Q47" s="48">
        <f>0</f>
        <v/>
      </c>
      <c r="R47" s="48">
        <f>0</f>
        <v/>
      </c>
      <c r="S47" s="48">
        <f>0</f>
        <v/>
      </c>
      <c r="T47" s="48">
        <f>'Rev-Capacity'!T29</f>
        <v/>
      </c>
      <c r="U47" s="48">
        <f>T47*(1+U$10)*(1-U$11)*IF(MOD((U$7-17),12)=0,IF((U$7-17)=12,U$12,U$13)*(1+U$14),1)</f>
        <v/>
      </c>
      <c r="V47" s="48">
        <f>U47*(1+V$10)*(1-V$11)*IF(MOD((V$7-17),12)=0,IF((V$7-17)=12,V$12,V$13)*(1+V$14),1)</f>
        <v/>
      </c>
      <c r="W47" s="48">
        <f>V47*(1+W$10)*(1-W$11)*IF(MOD((W$7-17),12)=0,IF((W$7-17)=12,W$12,W$13)*(1+W$14),1)</f>
        <v/>
      </c>
      <c r="X47" s="48">
        <f>W47*(1+X$10)*(1-X$11)*IF(MOD((X$7-17),12)=0,IF((X$7-17)=12,X$12,X$13)*(1+X$14),1)</f>
        <v/>
      </c>
      <c r="Y47" s="48">
        <f>X47*(1+Y$10)*(1-Y$11)*IF(MOD((Y$7-17),12)=0,IF((Y$7-17)=12,Y$12,Y$13)*(1+Y$14),1)</f>
        <v/>
      </c>
      <c r="Z47" s="48">
        <f>Y47*(1+Z$10)*(1-Z$11)*IF(MOD((Z$7-17),12)=0,IF((Z$7-17)=12,Z$12,Z$13)*(1+Z$14),1)</f>
        <v/>
      </c>
      <c r="AA47" s="48">
        <f>Z47*(1+AA$10)*(1-AA$11)*IF(MOD((AA$7-17),12)=0,IF((AA$7-17)=12,AA$12,AA$13)*(1+AA$14),1)</f>
        <v/>
      </c>
      <c r="AB47" s="48">
        <f>AA47*(1+AB$10)*(1-AB$11)*IF(MOD((AB$7-17),12)=0,IF((AB$7-17)=12,AB$12,AB$13)*(1+AB$14),1)</f>
        <v/>
      </c>
      <c r="AC47" s="48">
        <f>AB47*(1+AC$10)*(1-AC$11)*IF(MOD((AC$7-17),12)=0,IF((AC$7-17)=12,AC$12,AC$13)*(1+AC$14),1)</f>
        <v/>
      </c>
      <c r="AD47" s="48">
        <f>AC47*(1+AD$10)*(1-AD$11)*IF(MOD((AD$7-17),12)=0,IF((AD$7-17)=12,AD$12,AD$13)*(1+AD$14),1)</f>
        <v/>
      </c>
      <c r="AE47" s="48">
        <f>AD47*(1+AE$10)*(1-AE$11)*IF(MOD((AE$7-17),12)=0,IF((AE$7-17)=12,AE$12,AE$13)*(1+AE$14),1)</f>
        <v/>
      </c>
      <c r="AF47" s="48">
        <f>AE47*(1+AF$10)*(1-AF$11)*IF(MOD((AF$7-17),12)=0,IF((AF$7-17)=12,AF$12,AF$13)*(1+AF$14),1)</f>
        <v/>
      </c>
      <c r="AG47" s="48">
        <f>AF47*(1+AG$10)*(1-AG$11)*IF(MOD((AG$7-17),12)=0,IF((AG$7-17)=12,AG$12,AG$13)*(1+AG$14),1)</f>
        <v/>
      </c>
      <c r="AH47" s="48">
        <f>AG47*(1+AH$10)*(1-AH$11)*IF(MOD((AH$7-17),12)=0,IF((AH$7-17)=12,AH$12,AH$13)*(1+AH$14),1)</f>
        <v/>
      </c>
      <c r="AI47" s="48">
        <f>AH47*(1+AI$10)*(1-AI$11)*IF(MOD((AI$7-17),12)=0,IF((AI$7-17)=12,AI$12,AI$13)*(1+AI$14),1)</f>
        <v/>
      </c>
      <c r="AJ47" s="48">
        <f>AI47*(1+AJ$10)*(1-AJ$11)*IF(MOD((AJ$7-17),12)=0,IF((AJ$7-17)=12,AJ$12,AJ$13)*(1+AJ$14),1)</f>
        <v/>
      </c>
      <c r="AK47" s="48">
        <f>AJ47*(1+AK$10)*(1-AK$11)*IF(MOD((AK$7-17),12)=0,IF((AK$7-17)=12,AK$12,AK$13)*(1+AK$14),1)</f>
        <v/>
      </c>
      <c r="AL47" s="48">
        <f>AK47*(1+AL$10)*(1-AL$11)*IF(MOD((AL$7-17),12)=0,IF((AL$7-17)=12,AL$12,AL$13)*(1+AL$14),1)</f>
        <v/>
      </c>
      <c r="AM47" s="48">
        <f>AL47*(1+AM$10)*(1-AM$11)*IF(MOD((AM$7-17),12)=0,IF((AM$7-17)=12,AM$12,AM$13)*(1+AM$14),1)</f>
        <v/>
      </c>
      <c r="AN47" s="48">
        <f>AM47*(1+AN$10)*(1-AN$11)*IF(MOD((AN$7-17),12)=0,IF((AN$7-17)=12,AN$12,AN$13)*(1+AN$14),1)</f>
        <v/>
      </c>
      <c r="AO47" s="48">
        <f>AN47*(1+AO$10)*(1-AO$11)*IF(MOD((AO$7-17),12)=0,IF((AO$7-17)=12,AO$12,AO$13)*(1+AO$14),1)</f>
        <v/>
      </c>
      <c r="AP47" s="48">
        <f>AO47*(1+AP$10)*(1-AP$11)*IF(MOD((AP$7-17),12)=0,IF((AP$7-17)=12,AP$12,AP$13)*(1+AP$14),1)</f>
        <v/>
      </c>
      <c r="AQ47" s="48">
        <f>AP47*(1+AQ$10)*(1-AQ$11)*IF(MOD((AQ$7-17),12)=0,IF((AQ$7-17)=12,AQ$12,AQ$13)*(1+AQ$14),1)</f>
        <v/>
      </c>
      <c r="AR47" s="48">
        <f>AQ47*(1+AR$10)*(1-AR$11)*IF(MOD((AR$7-17),12)=0,IF((AR$7-17)=12,AR$12,AR$13)*(1+AR$14),1)</f>
        <v/>
      </c>
      <c r="AS47" s="48">
        <f>AR47*(1+AS$10)*(1-AS$11)*IF(MOD((AS$7-17),12)=0,IF((AS$7-17)=12,AS$12,AS$13)*(1+AS$14),1)</f>
        <v/>
      </c>
      <c r="AT47" s="48">
        <f>AS47*(1+AT$10)*(1-AT$11)*IF(MOD((AT$7-17),12)=0,IF((AT$7-17)=12,AT$12,AT$13)*(1+AT$14),1)</f>
        <v/>
      </c>
      <c r="AU47" s="48">
        <f>AT47*(1+AU$10)*(1-AU$11)*IF(MOD((AU$7-17),12)=0,IF((AU$7-17)=12,AU$12,AU$13)*(1+AU$14),1)</f>
        <v/>
      </c>
      <c r="AV47" s="48">
        <f>AU47*(1+AV$10)*(1-AV$11)*IF(MOD((AV$7-17),12)=0,IF((AV$7-17)=12,AV$12,AV$13)*(1+AV$14),1)</f>
        <v/>
      </c>
      <c r="AW47" s="48">
        <f>AV47*(1+AW$10)*(1-AW$11)*IF(MOD((AW$7-17),12)=0,IF((AW$7-17)=12,AW$12,AW$13)*(1+AW$14),1)</f>
        <v/>
      </c>
      <c r="AX47" s="48">
        <f>AW47*(1+AX$10)*(1-AX$11)*IF(MOD((AX$7-17),12)=0,IF((AX$7-17)=12,AX$12,AX$13)*(1+AX$14),1)</f>
        <v/>
      </c>
      <c r="AY47" s="48">
        <f>AX47*(1+AY$10)*(1-AY$11)*IF(MOD((AY$7-17),12)=0,IF((AY$7-17)=12,AY$12,AY$13)*(1+AY$14),1)</f>
        <v/>
      </c>
      <c r="AZ47" s="48">
        <f>AY47*(1+AZ$10)*(1-AZ$11)*IF(MOD((AZ$7-17),12)=0,IF((AZ$7-17)=12,AZ$12,AZ$13)*(1+AZ$14),1)</f>
        <v/>
      </c>
      <c r="BA47" s="48">
        <f>AZ47*(1+BA$10)*(1-BA$11)*IF(MOD((BA$7-17),12)=0,IF((BA$7-17)=12,BA$12,BA$13)*(1+BA$14),1)</f>
        <v/>
      </c>
      <c r="BB47" s="48">
        <f>BA47*(1+BB$10)*(1-BB$11)*IF(MOD((BB$7-17),12)=0,IF((BB$7-17)=12,BB$12,BB$13)*(1+BB$14),1)</f>
        <v/>
      </c>
      <c r="BC47" s="48">
        <f>BB47*(1+BC$10)*(1-BC$11)*IF(MOD((BC$7-17),12)=0,IF((BC$7-17)=12,BC$12,BC$13)*(1+BC$14),1)</f>
        <v/>
      </c>
      <c r="BD47" s="48">
        <f>BC47*(1+BD$10)*(1-BD$11)*IF(MOD((BD$7-17),12)=0,IF((BD$7-17)=12,BD$12,BD$13)*(1+BD$14),1)</f>
        <v/>
      </c>
      <c r="BE47" s="48">
        <f>BD47*(1+BE$10)*(1-BE$11)*IF(MOD((BE$7-17),12)=0,IF((BE$7-17)=12,BE$12,BE$13)*(1+BE$14),1)</f>
        <v/>
      </c>
      <c r="BF47" s="48">
        <f>BE47*(1+BF$10)*(1-BF$11)*IF(MOD((BF$7-17),12)=0,IF((BF$7-17)=12,BF$12,BF$13)*(1+BF$14),1)</f>
        <v/>
      </c>
      <c r="BG47" s="48">
        <f>BF47*(1+BG$10)*(1-BG$11)*IF(MOD((BG$7-17),12)=0,IF((BG$7-17)=12,BG$12,BG$13)*(1+BG$14),1)</f>
        <v/>
      </c>
      <c r="BH47" s="48">
        <f>BG47*(1+BH$10)*(1-BH$11)*IF(MOD((BH$7-17),12)=0,IF((BH$7-17)=12,BH$12,BH$13)*(1+BH$14),1)</f>
        <v/>
      </c>
      <c r="BI47" s="48">
        <f>BH47*(1+BI$10)*(1-BI$11)*IF(MOD((BI$7-17),12)=0,IF((BI$7-17)=12,BI$12,BI$13)*(1+BI$14),1)</f>
        <v/>
      </c>
      <c r="BJ47" s="48">
        <f>BI47*(1+BJ$10)*(1-BJ$11)*IF(MOD((BJ$7-17),12)=0,IF((BJ$7-17)=12,BJ$12,BJ$13)*(1+BJ$14),1)</f>
        <v/>
      </c>
      <c r="BK47" s="48">
        <f>BJ47*(1+BK$10)*(1-BK$11)*IF(MOD((BK$7-17),12)=0,IF((BK$7-17)=12,BK$12,BK$13)*(1+BK$14),1)</f>
        <v/>
      </c>
    </row>
    <row r="48" hidden="1" outlineLevel="1">
      <c r="B48" s="18" t="inlineStr">
        <is>
          <t xml:space="preserve">    Cohort Jun-27</t>
        </is>
      </c>
      <c r="C48" s="19" t="inlineStr">
        <is>
          <t>$</t>
        </is>
      </c>
      <c r="D48" s="48">
        <f>0</f>
        <v/>
      </c>
      <c r="E48" s="48">
        <f>0</f>
        <v/>
      </c>
      <c r="F48" s="48">
        <f>0</f>
        <v/>
      </c>
      <c r="G48" s="48">
        <f>0</f>
        <v/>
      </c>
      <c r="H48" s="48">
        <f>0</f>
        <v/>
      </c>
      <c r="I48" s="48">
        <f>0</f>
        <v/>
      </c>
      <c r="J48" s="48">
        <f>0</f>
        <v/>
      </c>
      <c r="K48" s="48">
        <f>0</f>
        <v/>
      </c>
      <c r="L48" s="48">
        <f>0</f>
        <v/>
      </c>
      <c r="M48" s="48">
        <f>0</f>
        <v/>
      </c>
      <c r="N48" s="48">
        <f>0</f>
        <v/>
      </c>
      <c r="O48" s="48">
        <f>0</f>
        <v/>
      </c>
      <c r="P48" s="48">
        <f>0</f>
        <v/>
      </c>
      <c r="Q48" s="48">
        <f>0</f>
        <v/>
      </c>
      <c r="R48" s="48">
        <f>0</f>
        <v/>
      </c>
      <c r="S48" s="48">
        <f>0</f>
        <v/>
      </c>
      <c r="T48" s="48">
        <f>0</f>
        <v/>
      </c>
      <c r="U48" s="48">
        <f>'Rev-Capacity'!U29</f>
        <v/>
      </c>
      <c r="V48" s="48">
        <f>U48*(1+V$10)*(1-V$11)*IF(MOD((V$7-18),12)=0,IF((V$7-18)=12,V$12,V$13)*(1+V$14),1)</f>
        <v/>
      </c>
      <c r="W48" s="48">
        <f>V48*(1+W$10)*(1-W$11)*IF(MOD((W$7-18),12)=0,IF((W$7-18)=12,W$12,W$13)*(1+W$14),1)</f>
        <v/>
      </c>
      <c r="X48" s="48">
        <f>W48*(1+X$10)*(1-X$11)*IF(MOD((X$7-18),12)=0,IF((X$7-18)=12,X$12,X$13)*(1+X$14),1)</f>
        <v/>
      </c>
      <c r="Y48" s="48">
        <f>X48*(1+Y$10)*(1-Y$11)*IF(MOD((Y$7-18),12)=0,IF((Y$7-18)=12,Y$12,Y$13)*(1+Y$14),1)</f>
        <v/>
      </c>
      <c r="Z48" s="48">
        <f>Y48*(1+Z$10)*(1-Z$11)*IF(MOD((Z$7-18),12)=0,IF((Z$7-18)=12,Z$12,Z$13)*(1+Z$14),1)</f>
        <v/>
      </c>
      <c r="AA48" s="48">
        <f>Z48*(1+AA$10)*(1-AA$11)*IF(MOD((AA$7-18),12)=0,IF((AA$7-18)=12,AA$12,AA$13)*(1+AA$14),1)</f>
        <v/>
      </c>
      <c r="AB48" s="48">
        <f>AA48*(1+AB$10)*(1-AB$11)*IF(MOD((AB$7-18),12)=0,IF((AB$7-18)=12,AB$12,AB$13)*(1+AB$14),1)</f>
        <v/>
      </c>
      <c r="AC48" s="48">
        <f>AB48*(1+AC$10)*(1-AC$11)*IF(MOD((AC$7-18),12)=0,IF((AC$7-18)=12,AC$12,AC$13)*(1+AC$14),1)</f>
        <v/>
      </c>
      <c r="AD48" s="48">
        <f>AC48*(1+AD$10)*(1-AD$11)*IF(MOD((AD$7-18),12)=0,IF((AD$7-18)=12,AD$12,AD$13)*(1+AD$14),1)</f>
        <v/>
      </c>
      <c r="AE48" s="48">
        <f>AD48*(1+AE$10)*(1-AE$11)*IF(MOD((AE$7-18),12)=0,IF((AE$7-18)=12,AE$12,AE$13)*(1+AE$14),1)</f>
        <v/>
      </c>
      <c r="AF48" s="48">
        <f>AE48*(1+AF$10)*(1-AF$11)*IF(MOD((AF$7-18),12)=0,IF((AF$7-18)=12,AF$12,AF$13)*(1+AF$14),1)</f>
        <v/>
      </c>
      <c r="AG48" s="48">
        <f>AF48*(1+AG$10)*(1-AG$11)*IF(MOD((AG$7-18),12)=0,IF((AG$7-18)=12,AG$12,AG$13)*(1+AG$14),1)</f>
        <v/>
      </c>
      <c r="AH48" s="48">
        <f>AG48*(1+AH$10)*(1-AH$11)*IF(MOD((AH$7-18),12)=0,IF((AH$7-18)=12,AH$12,AH$13)*(1+AH$14),1)</f>
        <v/>
      </c>
      <c r="AI48" s="48">
        <f>AH48*(1+AI$10)*(1-AI$11)*IF(MOD((AI$7-18),12)=0,IF((AI$7-18)=12,AI$12,AI$13)*(1+AI$14),1)</f>
        <v/>
      </c>
      <c r="AJ48" s="48">
        <f>AI48*(1+AJ$10)*(1-AJ$11)*IF(MOD((AJ$7-18),12)=0,IF((AJ$7-18)=12,AJ$12,AJ$13)*(1+AJ$14),1)</f>
        <v/>
      </c>
      <c r="AK48" s="48">
        <f>AJ48*(1+AK$10)*(1-AK$11)*IF(MOD((AK$7-18),12)=0,IF((AK$7-18)=12,AK$12,AK$13)*(1+AK$14),1)</f>
        <v/>
      </c>
      <c r="AL48" s="48">
        <f>AK48*(1+AL$10)*(1-AL$11)*IF(MOD((AL$7-18),12)=0,IF((AL$7-18)=12,AL$12,AL$13)*(1+AL$14),1)</f>
        <v/>
      </c>
      <c r="AM48" s="48">
        <f>AL48*(1+AM$10)*(1-AM$11)*IF(MOD((AM$7-18),12)=0,IF((AM$7-18)=12,AM$12,AM$13)*(1+AM$14),1)</f>
        <v/>
      </c>
      <c r="AN48" s="48">
        <f>AM48*(1+AN$10)*(1-AN$11)*IF(MOD((AN$7-18),12)=0,IF((AN$7-18)=12,AN$12,AN$13)*(1+AN$14),1)</f>
        <v/>
      </c>
      <c r="AO48" s="48">
        <f>AN48*(1+AO$10)*(1-AO$11)*IF(MOD((AO$7-18),12)=0,IF((AO$7-18)=12,AO$12,AO$13)*(1+AO$14),1)</f>
        <v/>
      </c>
      <c r="AP48" s="48">
        <f>AO48*(1+AP$10)*(1-AP$11)*IF(MOD((AP$7-18),12)=0,IF((AP$7-18)=12,AP$12,AP$13)*(1+AP$14),1)</f>
        <v/>
      </c>
      <c r="AQ48" s="48">
        <f>AP48*(1+AQ$10)*(1-AQ$11)*IF(MOD((AQ$7-18),12)=0,IF((AQ$7-18)=12,AQ$12,AQ$13)*(1+AQ$14),1)</f>
        <v/>
      </c>
      <c r="AR48" s="48">
        <f>AQ48*(1+AR$10)*(1-AR$11)*IF(MOD((AR$7-18),12)=0,IF((AR$7-18)=12,AR$12,AR$13)*(1+AR$14),1)</f>
        <v/>
      </c>
      <c r="AS48" s="48">
        <f>AR48*(1+AS$10)*(1-AS$11)*IF(MOD((AS$7-18),12)=0,IF((AS$7-18)=12,AS$12,AS$13)*(1+AS$14),1)</f>
        <v/>
      </c>
      <c r="AT48" s="48">
        <f>AS48*(1+AT$10)*(1-AT$11)*IF(MOD((AT$7-18),12)=0,IF((AT$7-18)=12,AT$12,AT$13)*(1+AT$14),1)</f>
        <v/>
      </c>
      <c r="AU48" s="48">
        <f>AT48*(1+AU$10)*(1-AU$11)*IF(MOD((AU$7-18),12)=0,IF((AU$7-18)=12,AU$12,AU$13)*(1+AU$14),1)</f>
        <v/>
      </c>
      <c r="AV48" s="48">
        <f>AU48*(1+AV$10)*(1-AV$11)*IF(MOD((AV$7-18),12)=0,IF((AV$7-18)=12,AV$12,AV$13)*(1+AV$14),1)</f>
        <v/>
      </c>
      <c r="AW48" s="48">
        <f>AV48*(1+AW$10)*(1-AW$11)*IF(MOD((AW$7-18),12)=0,IF((AW$7-18)=12,AW$12,AW$13)*(1+AW$14),1)</f>
        <v/>
      </c>
      <c r="AX48" s="48">
        <f>AW48*(1+AX$10)*(1-AX$11)*IF(MOD((AX$7-18),12)=0,IF((AX$7-18)=12,AX$12,AX$13)*(1+AX$14),1)</f>
        <v/>
      </c>
      <c r="AY48" s="48">
        <f>AX48*(1+AY$10)*(1-AY$11)*IF(MOD((AY$7-18),12)=0,IF((AY$7-18)=12,AY$12,AY$13)*(1+AY$14),1)</f>
        <v/>
      </c>
      <c r="AZ48" s="48">
        <f>AY48*(1+AZ$10)*(1-AZ$11)*IF(MOD((AZ$7-18),12)=0,IF((AZ$7-18)=12,AZ$12,AZ$13)*(1+AZ$14),1)</f>
        <v/>
      </c>
      <c r="BA48" s="48">
        <f>AZ48*(1+BA$10)*(1-BA$11)*IF(MOD((BA$7-18),12)=0,IF((BA$7-18)=12,BA$12,BA$13)*(1+BA$14),1)</f>
        <v/>
      </c>
      <c r="BB48" s="48">
        <f>BA48*(1+BB$10)*(1-BB$11)*IF(MOD((BB$7-18),12)=0,IF((BB$7-18)=12,BB$12,BB$13)*(1+BB$14),1)</f>
        <v/>
      </c>
      <c r="BC48" s="48">
        <f>BB48*(1+BC$10)*(1-BC$11)*IF(MOD((BC$7-18),12)=0,IF((BC$7-18)=12,BC$12,BC$13)*(1+BC$14),1)</f>
        <v/>
      </c>
      <c r="BD48" s="48">
        <f>BC48*(1+BD$10)*(1-BD$11)*IF(MOD((BD$7-18),12)=0,IF((BD$7-18)=12,BD$12,BD$13)*(1+BD$14),1)</f>
        <v/>
      </c>
      <c r="BE48" s="48">
        <f>BD48*(1+BE$10)*(1-BE$11)*IF(MOD((BE$7-18),12)=0,IF((BE$7-18)=12,BE$12,BE$13)*(1+BE$14),1)</f>
        <v/>
      </c>
      <c r="BF48" s="48">
        <f>BE48*(1+BF$10)*(1-BF$11)*IF(MOD((BF$7-18),12)=0,IF((BF$7-18)=12,BF$12,BF$13)*(1+BF$14),1)</f>
        <v/>
      </c>
      <c r="BG48" s="48">
        <f>BF48*(1+BG$10)*(1-BG$11)*IF(MOD((BG$7-18),12)=0,IF((BG$7-18)=12,BG$12,BG$13)*(1+BG$14),1)</f>
        <v/>
      </c>
      <c r="BH48" s="48">
        <f>BG48*(1+BH$10)*(1-BH$11)*IF(MOD((BH$7-18),12)=0,IF((BH$7-18)=12,BH$12,BH$13)*(1+BH$14),1)</f>
        <v/>
      </c>
      <c r="BI48" s="48">
        <f>BH48*(1+BI$10)*(1-BI$11)*IF(MOD((BI$7-18),12)=0,IF((BI$7-18)=12,BI$12,BI$13)*(1+BI$14),1)</f>
        <v/>
      </c>
      <c r="BJ48" s="48">
        <f>BI48*(1+BJ$10)*(1-BJ$11)*IF(MOD((BJ$7-18),12)=0,IF((BJ$7-18)=12,BJ$12,BJ$13)*(1+BJ$14),1)</f>
        <v/>
      </c>
      <c r="BK48" s="48">
        <f>BJ48*(1+BK$10)*(1-BK$11)*IF(MOD((BK$7-18),12)=0,IF((BK$7-18)=12,BK$12,BK$13)*(1+BK$14),1)</f>
        <v/>
      </c>
    </row>
    <row r="49" hidden="1" outlineLevel="1">
      <c r="B49" s="18" t="inlineStr">
        <is>
          <t xml:space="preserve">    Cohort Jul-27</t>
        </is>
      </c>
      <c r="C49" s="19" t="inlineStr">
        <is>
          <t>$</t>
        </is>
      </c>
      <c r="D49" s="48">
        <f>0</f>
        <v/>
      </c>
      <c r="E49" s="48">
        <f>0</f>
        <v/>
      </c>
      <c r="F49" s="48">
        <f>0</f>
        <v/>
      </c>
      <c r="G49" s="48">
        <f>0</f>
        <v/>
      </c>
      <c r="H49" s="48">
        <f>0</f>
        <v/>
      </c>
      <c r="I49" s="48">
        <f>0</f>
        <v/>
      </c>
      <c r="J49" s="48">
        <f>0</f>
        <v/>
      </c>
      <c r="K49" s="48">
        <f>0</f>
        <v/>
      </c>
      <c r="L49" s="48">
        <f>0</f>
        <v/>
      </c>
      <c r="M49" s="48">
        <f>0</f>
        <v/>
      </c>
      <c r="N49" s="48">
        <f>0</f>
        <v/>
      </c>
      <c r="O49" s="48">
        <f>0</f>
        <v/>
      </c>
      <c r="P49" s="48">
        <f>0</f>
        <v/>
      </c>
      <c r="Q49" s="48">
        <f>0</f>
        <v/>
      </c>
      <c r="R49" s="48">
        <f>0</f>
        <v/>
      </c>
      <c r="S49" s="48">
        <f>0</f>
        <v/>
      </c>
      <c r="T49" s="48">
        <f>0</f>
        <v/>
      </c>
      <c r="U49" s="48">
        <f>0</f>
        <v/>
      </c>
      <c r="V49" s="48">
        <f>'Rev-Capacity'!V29</f>
        <v/>
      </c>
      <c r="W49" s="48">
        <f>V49*(1+W$10)*(1-W$11)*IF(MOD((W$7-19),12)=0,IF((W$7-19)=12,W$12,W$13)*(1+W$14),1)</f>
        <v/>
      </c>
      <c r="X49" s="48">
        <f>W49*(1+X$10)*(1-X$11)*IF(MOD((X$7-19),12)=0,IF((X$7-19)=12,X$12,X$13)*(1+X$14),1)</f>
        <v/>
      </c>
      <c r="Y49" s="48">
        <f>X49*(1+Y$10)*(1-Y$11)*IF(MOD((Y$7-19),12)=0,IF((Y$7-19)=12,Y$12,Y$13)*(1+Y$14),1)</f>
        <v/>
      </c>
      <c r="Z49" s="48">
        <f>Y49*(1+Z$10)*(1-Z$11)*IF(MOD((Z$7-19),12)=0,IF((Z$7-19)=12,Z$12,Z$13)*(1+Z$14),1)</f>
        <v/>
      </c>
      <c r="AA49" s="48">
        <f>Z49*(1+AA$10)*(1-AA$11)*IF(MOD((AA$7-19),12)=0,IF((AA$7-19)=12,AA$12,AA$13)*(1+AA$14),1)</f>
        <v/>
      </c>
      <c r="AB49" s="48">
        <f>AA49*(1+AB$10)*(1-AB$11)*IF(MOD((AB$7-19),12)=0,IF((AB$7-19)=12,AB$12,AB$13)*(1+AB$14),1)</f>
        <v/>
      </c>
      <c r="AC49" s="48">
        <f>AB49*(1+AC$10)*(1-AC$11)*IF(MOD((AC$7-19),12)=0,IF((AC$7-19)=12,AC$12,AC$13)*(1+AC$14),1)</f>
        <v/>
      </c>
      <c r="AD49" s="48">
        <f>AC49*(1+AD$10)*(1-AD$11)*IF(MOD((AD$7-19),12)=0,IF((AD$7-19)=12,AD$12,AD$13)*(1+AD$14),1)</f>
        <v/>
      </c>
      <c r="AE49" s="48">
        <f>AD49*(1+AE$10)*(1-AE$11)*IF(MOD((AE$7-19),12)=0,IF((AE$7-19)=12,AE$12,AE$13)*(1+AE$14),1)</f>
        <v/>
      </c>
      <c r="AF49" s="48">
        <f>AE49*(1+AF$10)*(1-AF$11)*IF(MOD((AF$7-19),12)=0,IF((AF$7-19)=12,AF$12,AF$13)*(1+AF$14),1)</f>
        <v/>
      </c>
      <c r="AG49" s="48">
        <f>AF49*(1+AG$10)*(1-AG$11)*IF(MOD((AG$7-19),12)=0,IF((AG$7-19)=12,AG$12,AG$13)*(1+AG$14),1)</f>
        <v/>
      </c>
      <c r="AH49" s="48">
        <f>AG49*(1+AH$10)*(1-AH$11)*IF(MOD((AH$7-19),12)=0,IF((AH$7-19)=12,AH$12,AH$13)*(1+AH$14),1)</f>
        <v/>
      </c>
      <c r="AI49" s="48">
        <f>AH49*(1+AI$10)*(1-AI$11)*IF(MOD((AI$7-19),12)=0,IF((AI$7-19)=12,AI$12,AI$13)*(1+AI$14),1)</f>
        <v/>
      </c>
      <c r="AJ49" s="48">
        <f>AI49*(1+AJ$10)*(1-AJ$11)*IF(MOD((AJ$7-19),12)=0,IF((AJ$7-19)=12,AJ$12,AJ$13)*(1+AJ$14),1)</f>
        <v/>
      </c>
      <c r="AK49" s="48">
        <f>AJ49*(1+AK$10)*(1-AK$11)*IF(MOD((AK$7-19),12)=0,IF((AK$7-19)=12,AK$12,AK$13)*(1+AK$14),1)</f>
        <v/>
      </c>
      <c r="AL49" s="48">
        <f>AK49*(1+AL$10)*(1-AL$11)*IF(MOD((AL$7-19),12)=0,IF((AL$7-19)=12,AL$12,AL$13)*(1+AL$14),1)</f>
        <v/>
      </c>
      <c r="AM49" s="48">
        <f>AL49*(1+AM$10)*(1-AM$11)*IF(MOD((AM$7-19),12)=0,IF((AM$7-19)=12,AM$12,AM$13)*(1+AM$14),1)</f>
        <v/>
      </c>
      <c r="AN49" s="48">
        <f>AM49*(1+AN$10)*(1-AN$11)*IF(MOD((AN$7-19),12)=0,IF((AN$7-19)=12,AN$12,AN$13)*(1+AN$14),1)</f>
        <v/>
      </c>
      <c r="AO49" s="48">
        <f>AN49*(1+AO$10)*(1-AO$11)*IF(MOD((AO$7-19),12)=0,IF((AO$7-19)=12,AO$12,AO$13)*(1+AO$14),1)</f>
        <v/>
      </c>
      <c r="AP49" s="48">
        <f>AO49*(1+AP$10)*(1-AP$11)*IF(MOD((AP$7-19),12)=0,IF((AP$7-19)=12,AP$12,AP$13)*(1+AP$14),1)</f>
        <v/>
      </c>
      <c r="AQ49" s="48">
        <f>AP49*(1+AQ$10)*(1-AQ$11)*IF(MOD((AQ$7-19),12)=0,IF((AQ$7-19)=12,AQ$12,AQ$13)*(1+AQ$14),1)</f>
        <v/>
      </c>
      <c r="AR49" s="48">
        <f>AQ49*(1+AR$10)*(1-AR$11)*IF(MOD((AR$7-19),12)=0,IF((AR$7-19)=12,AR$12,AR$13)*(1+AR$14),1)</f>
        <v/>
      </c>
      <c r="AS49" s="48">
        <f>AR49*(1+AS$10)*(1-AS$11)*IF(MOD((AS$7-19),12)=0,IF((AS$7-19)=12,AS$12,AS$13)*(1+AS$14),1)</f>
        <v/>
      </c>
      <c r="AT49" s="48">
        <f>AS49*(1+AT$10)*(1-AT$11)*IF(MOD((AT$7-19),12)=0,IF((AT$7-19)=12,AT$12,AT$13)*(1+AT$14),1)</f>
        <v/>
      </c>
      <c r="AU49" s="48">
        <f>AT49*(1+AU$10)*(1-AU$11)*IF(MOD((AU$7-19),12)=0,IF((AU$7-19)=12,AU$12,AU$13)*(1+AU$14),1)</f>
        <v/>
      </c>
      <c r="AV49" s="48">
        <f>AU49*(1+AV$10)*(1-AV$11)*IF(MOD((AV$7-19),12)=0,IF((AV$7-19)=12,AV$12,AV$13)*(1+AV$14),1)</f>
        <v/>
      </c>
      <c r="AW49" s="48">
        <f>AV49*(1+AW$10)*(1-AW$11)*IF(MOD((AW$7-19),12)=0,IF((AW$7-19)=12,AW$12,AW$13)*(1+AW$14),1)</f>
        <v/>
      </c>
      <c r="AX49" s="48">
        <f>AW49*(1+AX$10)*(1-AX$11)*IF(MOD((AX$7-19),12)=0,IF((AX$7-19)=12,AX$12,AX$13)*(1+AX$14),1)</f>
        <v/>
      </c>
      <c r="AY49" s="48">
        <f>AX49*(1+AY$10)*(1-AY$11)*IF(MOD((AY$7-19),12)=0,IF((AY$7-19)=12,AY$12,AY$13)*(1+AY$14),1)</f>
        <v/>
      </c>
      <c r="AZ49" s="48">
        <f>AY49*(1+AZ$10)*(1-AZ$11)*IF(MOD((AZ$7-19),12)=0,IF((AZ$7-19)=12,AZ$12,AZ$13)*(1+AZ$14),1)</f>
        <v/>
      </c>
      <c r="BA49" s="48">
        <f>AZ49*(1+BA$10)*(1-BA$11)*IF(MOD((BA$7-19),12)=0,IF((BA$7-19)=12,BA$12,BA$13)*(1+BA$14),1)</f>
        <v/>
      </c>
      <c r="BB49" s="48">
        <f>BA49*(1+BB$10)*(1-BB$11)*IF(MOD((BB$7-19),12)=0,IF((BB$7-19)=12,BB$12,BB$13)*(1+BB$14),1)</f>
        <v/>
      </c>
      <c r="BC49" s="48">
        <f>BB49*(1+BC$10)*(1-BC$11)*IF(MOD((BC$7-19),12)=0,IF((BC$7-19)=12,BC$12,BC$13)*(1+BC$14),1)</f>
        <v/>
      </c>
      <c r="BD49" s="48">
        <f>BC49*(1+BD$10)*(1-BD$11)*IF(MOD((BD$7-19),12)=0,IF((BD$7-19)=12,BD$12,BD$13)*(1+BD$14),1)</f>
        <v/>
      </c>
      <c r="BE49" s="48">
        <f>BD49*(1+BE$10)*(1-BE$11)*IF(MOD((BE$7-19),12)=0,IF((BE$7-19)=12,BE$12,BE$13)*(1+BE$14),1)</f>
        <v/>
      </c>
      <c r="BF49" s="48">
        <f>BE49*(1+BF$10)*(1-BF$11)*IF(MOD((BF$7-19),12)=0,IF((BF$7-19)=12,BF$12,BF$13)*(1+BF$14),1)</f>
        <v/>
      </c>
      <c r="BG49" s="48">
        <f>BF49*(1+BG$10)*(1-BG$11)*IF(MOD((BG$7-19),12)=0,IF((BG$7-19)=12,BG$12,BG$13)*(1+BG$14),1)</f>
        <v/>
      </c>
      <c r="BH49" s="48">
        <f>BG49*(1+BH$10)*(1-BH$11)*IF(MOD((BH$7-19),12)=0,IF((BH$7-19)=12,BH$12,BH$13)*(1+BH$14),1)</f>
        <v/>
      </c>
      <c r="BI49" s="48">
        <f>BH49*(1+BI$10)*(1-BI$11)*IF(MOD((BI$7-19),12)=0,IF((BI$7-19)=12,BI$12,BI$13)*(1+BI$14),1)</f>
        <v/>
      </c>
      <c r="BJ49" s="48">
        <f>BI49*(1+BJ$10)*(1-BJ$11)*IF(MOD((BJ$7-19),12)=0,IF((BJ$7-19)=12,BJ$12,BJ$13)*(1+BJ$14),1)</f>
        <v/>
      </c>
      <c r="BK49" s="48">
        <f>BJ49*(1+BK$10)*(1-BK$11)*IF(MOD((BK$7-19),12)=0,IF((BK$7-19)=12,BK$12,BK$13)*(1+BK$14),1)</f>
        <v/>
      </c>
    </row>
    <row r="50" hidden="1" outlineLevel="1">
      <c r="B50" s="18" t="inlineStr">
        <is>
          <t xml:space="preserve">    Cohort Aug-27</t>
        </is>
      </c>
      <c r="C50" s="19" t="inlineStr">
        <is>
          <t>$</t>
        </is>
      </c>
      <c r="D50" s="48">
        <f>0</f>
        <v/>
      </c>
      <c r="E50" s="48">
        <f>0</f>
        <v/>
      </c>
      <c r="F50" s="48">
        <f>0</f>
        <v/>
      </c>
      <c r="G50" s="48">
        <f>0</f>
        <v/>
      </c>
      <c r="H50" s="48">
        <f>0</f>
        <v/>
      </c>
      <c r="I50" s="48">
        <f>0</f>
        <v/>
      </c>
      <c r="J50" s="48">
        <f>0</f>
        <v/>
      </c>
      <c r="K50" s="48">
        <f>0</f>
        <v/>
      </c>
      <c r="L50" s="48">
        <f>0</f>
        <v/>
      </c>
      <c r="M50" s="48">
        <f>0</f>
        <v/>
      </c>
      <c r="N50" s="48">
        <f>0</f>
        <v/>
      </c>
      <c r="O50" s="48">
        <f>0</f>
        <v/>
      </c>
      <c r="P50" s="48">
        <f>0</f>
        <v/>
      </c>
      <c r="Q50" s="48">
        <f>0</f>
        <v/>
      </c>
      <c r="R50" s="48">
        <f>0</f>
        <v/>
      </c>
      <c r="S50" s="48">
        <f>0</f>
        <v/>
      </c>
      <c r="T50" s="48">
        <f>0</f>
        <v/>
      </c>
      <c r="U50" s="48">
        <f>0</f>
        <v/>
      </c>
      <c r="V50" s="48">
        <f>0</f>
        <v/>
      </c>
      <c r="W50" s="48">
        <f>'Rev-Capacity'!W29</f>
        <v/>
      </c>
      <c r="X50" s="48">
        <f>W50*(1+X$10)*(1-X$11)*IF(MOD((X$7-20),12)=0,IF((X$7-20)=12,X$12,X$13)*(1+X$14),1)</f>
        <v/>
      </c>
      <c r="Y50" s="48">
        <f>X50*(1+Y$10)*(1-Y$11)*IF(MOD((Y$7-20),12)=0,IF((Y$7-20)=12,Y$12,Y$13)*(1+Y$14),1)</f>
        <v/>
      </c>
      <c r="Z50" s="48">
        <f>Y50*(1+Z$10)*(1-Z$11)*IF(MOD((Z$7-20),12)=0,IF((Z$7-20)=12,Z$12,Z$13)*(1+Z$14),1)</f>
        <v/>
      </c>
      <c r="AA50" s="48">
        <f>Z50*(1+AA$10)*(1-AA$11)*IF(MOD((AA$7-20),12)=0,IF((AA$7-20)=12,AA$12,AA$13)*(1+AA$14),1)</f>
        <v/>
      </c>
      <c r="AB50" s="48">
        <f>AA50*(1+AB$10)*(1-AB$11)*IF(MOD((AB$7-20),12)=0,IF((AB$7-20)=12,AB$12,AB$13)*(1+AB$14),1)</f>
        <v/>
      </c>
      <c r="AC50" s="48">
        <f>AB50*(1+AC$10)*(1-AC$11)*IF(MOD((AC$7-20),12)=0,IF((AC$7-20)=12,AC$12,AC$13)*(1+AC$14),1)</f>
        <v/>
      </c>
      <c r="AD50" s="48">
        <f>AC50*(1+AD$10)*(1-AD$11)*IF(MOD((AD$7-20),12)=0,IF((AD$7-20)=12,AD$12,AD$13)*(1+AD$14),1)</f>
        <v/>
      </c>
      <c r="AE50" s="48">
        <f>AD50*(1+AE$10)*(1-AE$11)*IF(MOD((AE$7-20),12)=0,IF((AE$7-20)=12,AE$12,AE$13)*(1+AE$14),1)</f>
        <v/>
      </c>
      <c r="AF50" s="48">
        <f>AE50*(1+AF$10)*(1-AF$11)*IF(MOD((AF$7-20),12)=0,IF((AF$7-20)=12,AF$12,AF$13)*(1+AF$14),1)</f>
        <v/>
      </c>
      <c r="AG50" s="48">
        <f>AF50*(1+AG$10)*(1-AG$11)*IF(MOD((AG$7-20),12)=0,IF((AG$7-20)=12,AG$12,AG$13)*(1+AG$14),1)</f>
        <v/>
      </c>
      <c r="AH50" s="48">
        <f>AG50*(1+AH$10)*(1-AH$11)*IF(MOD((AH$7-20),12)=0,IF((AH$7-20)=12,AH$12,AH$13)*(1+AH$14),1)</f>
        <v/>
      </c>
      <c r="AI50" s="48">
        <f>AH50*(1+AI$10)*(1-AI$11)*IF(MOD((AI$7-20),12)=0,IF((AI$7-20)=12,AI$12,AI$13)*(1+AI$14),1)</f>
        <v/>
      </c>
      <c r="AJ50" s="48">
        <f>AI50*(1+AJ$10)*(1-AJ$11)*IF(MOD((AJ$7-20),12)=0,IF((AJ$7-20)=12,AJ$12,AJ$13)*(1+AJ$14),1)</f>
        <v/>
      </c>
      <c r="AK50" s="48">
        <f>AJ50*(1+AK$10)*(1-AK$11)*IF(MOD((AK$7-20),12)=0,IF((AK$7-20)=12,AK$12,AK$13)*(1+AK$14),1)</f>
        <v/>
      </c>
      <c r="AL50" s="48">
        <f>AK50*(1+AL$10)*(1-AL$11)*IF(MOD((AL$7-20),12)=0,IF((AL$7-20)=12,AL$12,AL$13)*(1+AL$14),1)</f>
        <v/>
      </c>
      <c r="AM50" s="48">
        <f>AL50*(1+AM$10)*(1-AM$11)*IF(MOD((AM$7-20),12)=0,IF((AM$7-20)=12,AM$12,AM$13)*(1+AM$14),1)</f>
        <v/>
      </c>
      <c r="AN50" s="48">
        <f>AM50*(1+AN$10)*(1-AN$11)*IF(MOD((AN$7-20),12)=0,IF((AN$7-20)=12,AN$12,AN$13)*(1+AN$14),1)</f>
        <v/>
      </c>
      <c r="AO50" s="48">
        <f>AN50*(1+AO$10)*(1-AO$11)*IF(MOD((AO$7-20),12)=0,IF((AO$7-20)=12,AO$12,AO$13)*(1+AO$14),1)</f>
        <v/>
      </c>
      <c r="AP50" s="48">
        <f>AO50*(1+AP$10)*(1-AP$11)*IF(MOD((AP$7-20),12)=0,IF((AP$7-20)=12,AP$12,AP$13)*(1+AP$14),1)</f>
        <v/>
      </c>
      <c r="AQ50" s="48">
        <f>AP50*(1+AQ$10)*(1-AQ$11)*IF(MOD((AQ$7-20),12)=0,IF((AQ$7-20)=12,AQ$12,AQ$13)*(1+AQ$14),1)</f>
        <v/>
      </c>
      <c r="AR50" s="48">
        <f>AQ50*(1+AR$10)*(1-AR$11)*IF(MOD((AR$7-20),12)=0,IF((AR$7-20)=12,AR$12,AR$13)*(1+AR$14),1)</f>
        <v/>
      </c>
      <c r="AS50" s="48">
        <f>AR50*(1+AS$10)*(1-AS$11)*IF(MOD((AS$7-20),12)=0,IF((AS$7-20)=12,AS$12,AS$13)*(1+AS$14),1)</f>
        <v/>
      </c>
      <c r="AT50" s="48">
        <f>AS50*(1+AT$10)*(1-AT$11)*IF(MOD((AT$7-20),12)=0,IF((AT$7-20)=12,AT$12,AT$13)*(1+AT$14),1)</f>
        <v/>
      </c>
      <c r="AU50" s="48">
        <f>AT50*(1+AU$10)*(1-AU$11)*IF(MOD((AU$7-20),12)=0,IF((AU$7-20)=12,AU$12,AU$13)*(1+AU$14),1)</f>
        <v/>
      </c>
      <c r="AV50" s="48">
        <f>AU50*(1+AV$10)*(1-AV$11)*IF(MOD((AV$7-20),12)=0,IF((AV$7-20)=12,AV$12,AV$13)*(1+AV$14),1)</f>
        <v/>
      </c>
      <c r="AW50" s="48">
        <f>AV50*(1+AW$10)*(1-AW$11)*IF(MOD((AW$7-20),12)=0,IF((AW$7-20)=12,AW$12,AW$13)*(1+AW$14),1)</f>
        <v/>
      </c>
      <c r="AX50" s="48">
        <f>AW50*(1+AX$10)*(1-AX$11)*IF(MOD((AX$7-20),12)=0,IF((AX$7-20)=12,AX$12,AX$13)*(1+AX$14),1)</f>
        <v/>
      </c>
      <c r="AY50" s="48">
        <f>AX50*(1+AY$10)*(1-AY$11)*IF(MOD((AY$7-20),12)=0,IF((AY$7-20)=12,AY$12,AY$13)*(1+AY$14),1)</f>
        <v/>
      </c>
      <c r="AZ50" s="48">
        <f>AY50*(1+AZ$10)*(1-AZ$11)*IF(MOD((AZ$7-20),12)=0,IF((AZ$7-20)=12,AZ$12,AZ$13)*(1+AZ$14),1)</f>
        <v/>
      </c>
      <c r="BA50" s="48">
        <f>AZ50*(1+BA$10)*(1-BA$11)*IF(MOD((BA$7-20),12)=0,IF((BA$7-20)=12,BA$12,BA$13)*(1+BA$14),1)</f>
        <v/>
      </c>
      <c r="BB50" s="48">
        <f>BA50*(1+BB$10)*(1-BB$11)*IF(MOD((BB$7-20),12)=0,IF((BB$7-20)=12,BB$12,BB$13)*(1+BB$14),1)</f>
        <v/>
      </c>
      <c r="BC50" s="48">
        <f>BB50*(1+BC$10)*(1-BC$11)*IF(MOD((BC$7-20),12)=0,IF((BC$7-20)=12,BC$12,BC$13)*(1+BC$14),1)</f>
        <v/>
      </c>
      <c r="BD50" s="48">
        <f>BC50*(1+BD$10)*(1-BD$11)*IF(MOD((BD$7-20),12)=0,IF((BD$7-20)=12,BD$12,BD$13)*(1+BD$14),1)</f>
        <v/>
      </c>
      <c r="BE50" s="48">
        <f>BD50*(1+BE$10)*(1-BE$11)*IF(MOD((BE$7-20),12)=0,IF((BE$7-20)=12,BE$12,BE$13)*(1+BE$14),1)</f>
        <v/>
      </c>
      <c r="BF50" s="48">
        <f>BE50*(1+BF$10)*(1-BF$11)*IF(MOD((BF$7-20),12)=0,IF((BF$7-20)=12,BF$12,BF$13)*(1+BF$14),1)</f>
        <v/>
      </c>
      <c r="BG50" s="48">
        <f>BF50*(1+BG$10)*(1-BG$11)*IF(MOD((BG$7-20),12)=0,IF((BG$7-20)=12,BG$12,BG$13)*(1+BG$14),1)</f>
        <v/>
      </c>
      <c r="BH50" s="48">
        <f>BG50*(1+BH$10)*(1-BH$11)*IF(MOD((BH$7-20),12)=0,IF((BH$7-20)=12,BH$12,BH$13)*(1+BH$14),1)</f>
        <v/>
      </c>
      <c r="BI50" s="48">
        <f>BH50*(1+BI$10)*(1-BI$11)*IF(MOD((BI$7-20),12)=0,IF((BI$7-20)=12,BI$12,BI$13)*(1+BI$14),1)</f>
        <v/>
      </c>
      <c r="BJ50" s="48">
        <f>BI50*(1+BJ$10)*(1-BJ$11)*IF(MOD((BJ$7-20),12)=0,IF((BJ$7-20)=12,BJ$12,BJ$13)*(1+BJ$14),1)</f>
        <v/>
      </c>
      <c r="BK50" s="48">
        <f>BJ50*(1+BK$10)*(1-BK$11)*IF(MOD((BK$7-20),12)=0,IF((BK$7-20)=12,BK$12,BK$13)*(1+BK$14),1)</f>
        <v/>
      </c>
    </row>
    <row r="51" hidden="1" outlineLevel="1">
      <c r="B51" s="18" t="inlineStr">
        <is>
          <t xml:space="preserve">    Cohort Sep-27</t>
        </is>
      </c>
      <c r="C51" s="19" t="inlineStr">
        <is>
          <t>$</t>
        </is>
      </c>
      <c r="D51" s="48">
        <f>0</f>
        <v/>
      </c>
      <c r="E51" s="48">
        <f>0</f>
        <v/>
      </c>
      <c r="F51" s="48">
        <f>0</f>
        <v/>
      </c>
      <c r="G51" s="48">
        <f>0</f>
        <v/>
      </c>
      <c r="H51" s="48">
        <f>0</f>
        <v/>
      </c>
      <c r="I51" s="48">
        <f>0</f>
        <v/>
      </c>
      <c r="J51" s="48">
        <f>0</f>
        <v/>
      </c>
      <c r="K51" s="48">
        <f>0</f>
        <v/>
      </c>
      <c r="L51" s="48">
        <f>0</f>
        <v/>
      </c>
      <c r="M51" s="48">
        <f>0</f>
        <v/>
      </c>
      <c r="N51" s="48">
        <f>0</f>
        <v/>
      </c>
      <c r="O51" s="48">
        <f>0</f>
        <v/>
      </c>
      <c r="P51" s="48">
        <f>0</f>
        <v/>
      </c>
      <c r="Q51" s="48">
        <f>0</f>
        <v/>
      </c>
      <c r="R51" s="48">
        <f>0</f>
        <v/>
      </c>
      <c r="S51" s="48">
        <f>0</f>
        <v/>
      </c>
      <c r="T51" s="48">
        <f>0</f>
        <v/>
      </c>
      <c r="U51" s="48">
        <f>0</f>
        <v/>
      </c>
      <c r="V51" s="48">
        <f>0</f>
        <v/>
      </c>
      <c r="W51" s="48">
        <f>0</f>
        <v/>
      </c>
      <c r="X51" s="48">
        <f>'Rev-Capacity'!X29</f>
        <v/>
      </c>
      <c r="Y51" s="48">
        <f>X51*(1+Y$10)*(1-Y$11)*IF(MOD((Y$7-21),12)=0,IF((Y$7-21)=12,Y$12,Y$13)*(1+Y$14),1)</f>
        <v/>
      </c>
      <c r="Z51" s="48">
        <f>Y51*(1+Z$10)*(1-Z$11)*IF(MOD((Z$7-21),12)=0,IF((Z$7-21)=12,Z$12,Z$13)*(1+Z$14),1)</f>
        <v/>
      </c>
      <c r="AA51" s="48">
        <f>Z51*(1+AA$10)*(1-AA$11)*IF(MOD((AA$7-21),12)=0,IF((AA$7-21)=12,AA$12,AA$13)*(1+AA$14),1)</f>
        <v/>
      </c>
      <c r="AB51" s="48">
        <f>AA51*(1+AB$10)*(1-AB$11)*IF(MOD((AB$7-21),12)=0,IF((AB$7-21)=12,AB$12,AB$13)*(1+AB$14),1)</f>
        <v/>
      </c>
      <c r="AC51" s="48">
        <f>AB51*(1+AC$10)*(1-AC$11)*IF(MOD((AC$7-21),12)=0,IF((AC$7-21)=12,AC$12,AC$13)*(1+AC$14),1)</f>
        <v/>
      </c>
      <c r="AD51" s="48">
        <f>AC51*(1+AD$10)*(1-AD$11)*IF(MOD((AD$7-21),12)=0,IF((AD$7-21)=12,AD$12,AD$13)*(1+AD$14),1)</f>
        <v/>
      </c>
      <c r="AE51" s="48">
        <f>AD51*(1+AE$10)*(1-AE$11)*IF(MOD((AE$7-21),12)=0,IF((AE$7-21)=12,AE$12,AE$13)*(1+AE$14),1)</f>
        <v/>
      </c>
      <c r="AF51" s="48">
        <f>AE51*(1+AF$10)*(1-AF$11)*IF(MOD((AF$7-21),12)=0,IF((AF$7-21)=12,AF$12,AF$13)*(1+AF$14),1)</f>
        <v/>
      </c>
      <c r="AG51" s="48">
        <f>AF51*(1+AG$10)*(1-AG$11)*IF(MOD((AG$7-21),12)=0,IF((AG$7-21)=12,AG$12,AG$13)*(1+AG$14),1)</f>
        <v/>
      </c>
      <c r="AH51" s="48">
        <f>AG51*(1+AH$10)*(1-AH$11)*IF(MOD((AH$7-21),12)=0,IF((AH$7-21)=12,AH$12,AH$13)*(1+AH$14),1)</f>
        <v/>
      </c>
      <c r="AI51" s="48">
        <f>AH51*(1+AI$10)*(1-AI$11)*IF(MOD((AI$7-21),12)=0,IF((AI$7-21)=12,AI$12,AI$13)*(1+AI$14),1)</f>
        <v/>
      </c>
      <c r="AJ51" s="48">
        <f>AI51*(1+AJ$10)*(1-AJ$11)*IF(MOD((AJ$7-21),12)=0,IF((AJ$7-21)=12,AJ$12,AJ$13)*(1+AJ$14),1)</f>
        <v/>
      </c>
      <c r="AK51" s="48">
        <f>AJ51*(1+AK$10)*(1-AK$11)*IF(MOD((AK$7-21),12)=0,IF((AK$7-21)=12,AK$12,AK$13)*(1+AK$14),1)</f>
        <v/>
      </c>
      <c r="AL51" s="48">
        <f>AK51*(1+AL$10)*(1-AL$11)*IF(MOD((AL$7-21),12)=0,IF((AL$7-21)=12,AL$12,AL$13)*(1+AL$14),1)</f>
        <v/>
      </c>
      <c r="AM51" s="48">
        <f>AL51*(1+AM$10)*(1-AM$11)*IF(MOD((AM$7-21),12)=0,IF((AM$7-21)=12,AM$12,AM$13)*(1+AM$14),1)</f>
        <v/>
      </c>
      <c r="AN51" s="48">
        <f>AM51*(1+AN$10)*(1-AN$11)*IF(MOD((AN$7-21),12)=0,IF((AN$7-21)=12,AN$12,AN$13)*(1+AN$14),1)</f>
        <v/>
      </c>
      <c r="AO51" s="48">
        <f>AN51*(1+AO$10)*(1-AO$11)*IF(MOD((AO$7-21),12)=0,IF((AO$7-21)=12,AO$12,AO$13)*(1+AO$14),1)</f>
        <v/>
      </c>
      <c r="AP51" s="48">
        <f>AO51*(1+AP$10)*(1-AP$11)*IF(MOD((AP$7-21),12)=0,IF((AP$7-21)=12,AP$12,AP$13)*(1+AP$14),1)</f>
        <v/>
      </c>
      <c r="AQ51" s="48">
        <f>AP51*(1+AQ$10)*(1-AQ$11)*IF(MOD((AQ$7-21),12)=0,IF((AQ$7-21)=12,AQ$12,AQ$13)*(1+AQ$14),1)</f>
        <v/>
      </c>
      <c r="AR51" s="48">
        <f>AQ51*(1+AR$10)*(1-AR$11)*IF(MOD((AR$7-21),12)=0,IF((AR$7-21)=12,AR$12,AR$13)*(1+AR$14),1)</f>
        <v/>
      </c>
      <c r="AS51" s="48">
        <f>AR51*(1+AS$10)*(1-AS$11)*IF(MOD((AS$7-21),12)=0,IF((AS$7-21)=12,AS$12,AS$13)*(1+AS$14),1)</f>
        <v/>
      </c>
      <c r="AT51" s="48">
        <f>AS51*(1+AT$10)*(1-AT$11)*IF(MOD((AT$7-21),12)=0,IF((AT$7-21)=12,AT$12,AT$13)*(1+AT$14),1)</f>
        <v/>
      </c>
      <c r="AU51" s="48">
        <f>AT51*(1+AU$10)*(1-AU$11)*IF(MOD((AU$7-21),12)=0,IF((AU$7-21)=12,AU$12,AU$13)*(1+AU$14),1)</f>
        <v/>
      </c>
      <c r="AV51" s="48">
        <f>AU51*(1+AV$10)*(1-AV$11)*IF(MOD((AV$7-21),12)=0,IF((AV$7-21)=12,AV$12,AV$13)*(1+AV$14),1)</f>
        <v/>
      </c>
      <c r="AW51" s="48">
        <f>AV51*(1+AW$10)*(1-AW$11)*IF(MOD((AW$7-21),12)=0,IF((AW$7-21)=12,AW$12,AW$13)*(1+AW$14),1)</f>
        <v/>
      </c>
      <c r="AX51" s="48">
        <f>AW51*(1+AX$10)*(1-AX$11)*IF(MOD((AX$7-21),12)=0,IF((AX$7-21)=12,AX$12,AX$13)*(1+AX$14),1)</f>
        <v/>
      </c>
      <c r="AY51" s="48">
        <f>AX51*(1+AY$10)*(1-AY$11)*IF(MOD((AY$7-21),12)=0,IF((AY$7-21)=12,AY$12,AY$13)*(1+AY$14),1)</f>
        <v/>
      </c>
      <c r="AZ51" s="48">
        <f>AY51*(1+AZ$10)*(1-AZ$11)*IF(MOD((AZ$7-21),12)=0,IF((AZ$7-21)=12,AZ$12,AZ$13)*(1+AZ$14),1)</f>
        <v/>
      </c>
      <c r="BA51" s="48">
        <f>AZ51*(1+BA$10)*(1-BA$11)*IF(MOD((BA$7-21),12)=0,IF((BA$7-21)=12,BA$12,BA$13)*(1+BA$14),1)</f>
        <v/>
      </c>
      <c r="BB51" s="48">
        <f>BA51*(1+BB$10)*(1-BB$11)*IF(MOD((BB$7-21),12)=0,IF((BB$7-21)=12,BB$12,BB$13)*(1+BB$14),1)</f>
        <v/>
      </c>
      <c r="BC51" s="48">
        <f>BB51*(1+BC$10)*(1-BC$11)*IF(MOD((BC$7-21),12)=0,IF((BC$7-21)=12,BC$12,BC$13)*(1+BC$14),1)</f>
        <v/>
      </c>
      <c r="BD51" s="48">
        <f>BC51*(1+BD$10)*(1-BD$11)*IF(MOD((BD$7-21),12)=0,IF((BD$7-21)=12,BD$12,BD$13)*(1+BD$14),1)</f>
        <v/>
      </c>
      <c r="BE51" s="48">
        <f>BD51*(1+BE$10)*(1-BE$11)*IF(MOD((BE$7-21),12)=0,IF((BE$7-21)=12,BE$12,BE$13)*(1+BE$14),1)</f>
        <v/>
      </c>
      <c r="BF51" s="48">
        <f>BE51*(1+BF$10)*(1-BF$11)*IF(MOD((BF$7-21),12)=0,IF((BF$7-21)=12,BF$12,BF$13)*(1+BF$14),1)</f>
        <v/>
      </c>
      <c r="BG51" s="48">
        <f>BF51*(1+BG$10)*(1-BG$11)*IF(MOD((BG$7-21),12)=0,IF((BG$7-21)=12,BG$12,BG$13)*(1+BG$14),1)</f>
        <v/>
      </c>
      <c r="BH51" s="48">
        <f>BG51*(1+BH$10)*(1-BH$11)*IF(MOD((BH$7-21),12)=0,IF((BH$7-21)=12,BH$12,BH$13)*(1+BH$14),1)</f>
        <v/>
      </c>
      <c r="BI51" s="48">
        <f>BH51*(1+BI$10)*(1-BI$11)*IF(MOD((BI$7-21),12)=0,IF((BI$7-21)=12,BI$12,BI$13)*(1+BI$14),1)</f>
        <v/>
      </c>
      <c r="BJ51" s="48">
        <f>BI51*(1+BJ$10)*(1-BJ$11)*IF(MOD((BJ$7-21),12)=0,IF((BJ$7-21)=12,BJ$12,BJ$13)*(1+BJ$14),1)</f>
        <v/>
      </c>
      <c r="BK51" s="48">
        <f>BJ51*(1+BK$10)*(1-BK$11)*IF(MOD((BK$7-21),12)=0,IF((BK$7-21)=12,BK$12,BK$13)*(1+BK$14),1)</f>
        <v/>
      </c>
    </row>
    <row r="52" hidden="1" outlineLevel="1">
      <c r="B52" s="18" t="inlineStr">
        <is>
          <t xml:space="preserve">    Cohort Oct-27</t>
        </is>
      </c>
      <c r="C52" s="19" t="inlineStr">
        <is>
          <t>$</t>
        </is>
      </c>
      <c r="D52" s="48">
        <f>0</f>
        <v/>
      </c>
      <c r="E52" s="48">
        <f>0</f>
        <v/>
      </c>
      <c r="F52" s="48">
        <f>0</f>
        <v/>
      </c>
      <c r="G52" s="48">
        <f>0</f>
        <v/>
      </c>
      <c r="H52" s="48">
        <f>0</f>
        <v/>
      </c>
      <c r="I52" s="48">
        <f>0</f>
        <v/>
      </c>
      <c r="J52" s="48">
        <f>0</f>
        <v/>
      </c>
      <c r="K52" s="48">
        <f>0</f>
        <v/>
      </c>
      <c r="L52" s="48">
        <f>0</f>
        <v/>
      </c>
      <c r="M52" s="48">
        <f>0</f>
        <v/>
      </c>
      <c r="N52" s="48">
        <f>0</f>
        <v/>
      </c>
      <c r="O52" s="48">
        <f>0</f>
        <v/>
      </c>
      <c r="P52" s="48">
        <f>0</f>
        <v/>
      </c>
      <c r="Q52" s="48">
        <f>0</f>
        <v/>
      </c>
      <c r="R52" s="48">
        <f>0</f>
        <v/>
      </c>
      <c r="S52" s="48">
        <f>0</f>
        <v/>
      </c>
      <c r="T52" s="48">
        <f>0</f>
        <v/>
      </c>
      <c r="U52" s="48">
        <f>0</f>
        <v/>
      </c>
      <c r="V52" s="48">
        <f>0</f>
        <v/>
      </c>
      <c r="W52" s="48">
        <f>0</f>
        <v/>
      </c>
      <c r="X52" s="48">
        <f>0</f>
        <v/>
      </c>
      <c r="Y52" s="48">
        <f>'Rev-Capacity'!Y29</f>
        <v/>
      </c>
      <c r="Z52" s="48">
        <f>Y52*(1+Z$10)*(1-Z$11)*IF(MOD((Z$7-22),12)=0,IF((Z$7-22)=12,Z$12,Z$13)*(1+Z$14),1)</f>
        <v/>
      </c>
      <c r="AA52" s="48">
        <f>Z52*(1+AA$10)*(1-AA$11)*IF(MOD((AA$7-22),12)=0,IF((AA$7-22)=12,AA$12,AA$13)*(1+AA$14),1)</f>
        <v/>
      </c>
      <c r="AB52" s="48">
        <f>AA52*(1+AB$10)*(1-AB$11)*IF(MOD((AB$7-22),12)=0,IF((AB$7-22)=12,AB$12,AB$13)*(1+AB$14),1)</f>
        <v/>
      </c>
      <c r="AC52" s="48">
        <f>AB52*(1+AC$10)*(1-AC$11)*IF(MOD((AC$7-22),12)=0,IF((AC$7-22)=12,AC$12,AC$13)*(1+AC$14),1)</f>
        <v/>
      </c>
      <c r="AD52" s="48">
        <f>AC52*(1+AD$10)*(1-AD$11)*IF(MOD((AD$7-22),12)=0,IF((AD$7-22)=12,AD$12,AD$13)*(1+AD$14),1)</f>
        <v/>
      </c>
      <c r="AE52" s="48">
        <f>AD52*(1+AE$10)*(1-AE$11)*IF(MOD((AE$7-22),12)=0,IF((AE$7-22)=12,AE$12,AE$13)*(1+AE$14),1)</f>
        <v/>
      </c>
      <c r="AF52" s="48">
        <f>AE52*(1+AF$10)*(1-AF$11)*IF(MOD((AF$7-22),12)=0,IF((AF$7-22)=12,AF$12,AF$13)*(1+AF$14),1)</f>
        <v/>
      </c>
      <c r="AG52" s="48">
        <f>AF52*(1+AG$10)*(1-AG$11)*IF(MOD((AG$7-22),12)=0,IF((AG$7-22)=12,AG$12,AG$13)*(1+AG$14),1)</f>
        <v/>
      </c>
      <c r="AH52" s="48">
        <f>AG52*(1+AH$10)*(1-AH$11)*IF(MOD((AH$7-22),12)=0,IF((AH$7-22)=12,AH$12,AH$13)*(1+AH$14),1)</f>
        <v/>
      </c>
      <c r="AI52" s="48">
        <f>AH52*(1+AI$10)*(1-AI$11)*IF(MOD((AI$7-22),12)=0,IF((AI$7-22)=12,AI$12,AI$13)*(1+AI$14),1)</f>
        <v/>
      </c>
      <c r="AJ52" s="48">
        <f>AI52*(1+AJ$10)*(1-AJ$11)*IF(MOD((AJ$7-22),12)=0,IF((AJ$7-22)=12,AJ$12,AJ$13)*(1+AJ$14),1)</f>
        <v/>
      </c>
      <c r="AK52" s="48">
        <f>AJ52*(1+AK$10)*(1-AK$11)*IF(MOD((AK$7-22),12)=0,IF((AK$7-22)=12,AK$12,AK$13)*(1+AK$14),1)</f>
        <v/>
      </c>
      <c r="AL52" s="48">
        <f>AK52*(1+AL$10)*(1-AL$11)*IF(MOD((AL$7-22),12)=0,IF((AL$7-22)=12,AL$12,AL$13)*(1+AL$14),1)</f>
        <v/>
      </c>
      <c r="AM52" s="48">
        <f>AL52*(1+AM$10)*(1-AM$11)*IF(MOD((AM$7-22),12)=0,IF((AM$7-22)=12,AM$12,AM$13)*(1+AM$14),1)</f>
        <v/>
      </c>
      <c r="AN52" s="48">
        <f>AM52*(1+AN$10)*(1-AN$11)*IF(MOD((AN$7-22),12)=0,IF((AN$7-22)=12,AN$12,AN$13)*(1+AN$14),1)</f>
        <v/>
      </c>
      <c r="AO52" s="48">
        <f>AN52*(1+AO$10)*(1-AO$11)*IF(MOD((AO$7-22),12)=0,IF((AO$7-22)=12,AO$12,AO$13)*(1+AO$14),1)</f>
        <v/>
      </c>
      <c r="AP52" s="48">
        <f>AO52*(1+AP$10)*(1-AP$11)*IF(MOD((AP$7-22),12)=0,IF((AP$7-22)=12,AP$12,AP$13)*(1+AP$14),1)</f>
        <v/>
      </c>
      <c r="AQ52" s="48">
        <f>AP52*(1+AQ$10)*(1-AQ$11)*IF(MOD((AQ$7-22),12)=0,IF((AQ$7-22)=12,AQ$12,AQ$13)*(1+AQ$14),1)</f>
        <v/>
      </c>
      <c r="AR52" s="48">
        <f>AQ52*(1+AR$10)*(1-AR$11)*IF(MOD((AR$7-22),12)=0,IF((AR$7-22)=12,AR$12,AR$13)*(1+AR$14),1)</f>
        <v/>
      </c>
      <c r="AS52" s="48">
        <f>AR52*(1+AS$10)*(1-AS$11)*IF(MOD((AS$7-22),12)=0,IF((AS$7-22)=12,AS$12,AS$13)*(1+AS$14),1)</f>
        <v/>
      </c>
      <c r="AT52" s="48">
        <f>AS52*(1+AT$10)*(1-AT$11)*IF(MOD((AT$7-22),12)=0,IF((AT$7-22)=12,AT$12,AT$13)*(1+AT$14),1)</f>
        <v/>
      </c>
      <c r="AU52" s="48">
        <f>AT52*(1+AU$10)*(1-AU$11)*IF(MOD((AU$7-22),12)=0,IF((AU$7-22)=12,AU$12,AU$13)*(1+AU$14),1)</f>
        <v/>
      </c>
      <c r="AV52" s="48">
        <f>AU52*(1+AV$10)*(1-AV$11)*IF(MOD((AV$7-22),12)=0,IF((AV$7-22)=12,AV$12,AV$13)*(1+AV$14),1)</f>
        <v/>
      </c>
      <c r="AW52" s="48">
        <f>AV52*(1+AW$10)*(1-AW$11)*IF(MOD((AW$7-22),12)=0,IF((AW$7-22)=12,AW$12,AW$13)*(1+AW$14),1)</f>
        <v/>
      </c>
      <c r="AX52" s="48">
        <f>AW52*(1+AX$10)*(1-AX$11)*IF(MOD((AX$7-22),12)=0,IF((AX$7-22)=12,AX$12,AX$13)*(1+AX$14),1)</f>
        <v/>
      </c>
      <c r="AY52" s="48">
        <f>AX52*(1+AY$10)*(1-AY$11)*IF(MOD((AY$7-22),12)=0,IF((AY$7-22)=12,AY$12,AY$13)*(1+AY$14),1)</f>
        <v/>
      </c>
      <c r="AZ52" s="48">
        <f>AY52*(1+AZ$10)*(1-AZ$11)*IF(MOD((AZ$7-22),12)=0,IF((AZ$7-22)=12,AZ$12,AZ$13)*(1+AZ$14),1)</f>
        <v/>
      </c>
      <c r="BA52" s="48">
        <f>AZ52*(1+BA$10)*(1-BA$11)*IF(MOD((BA$7-22),12)=0,IF((BA$7-22)=12,BA$12,BA$13)*(1+BA$14),1)</f>
        <v/>
      </c>
      <c r="BB52" s="48">
        <f>BA52*(1+BB$10)*(1-BB$11)*IF(MOD((BB$7-22),12)=0,IF((BB$7-22)=12,BB$12,BB$13)*(1+BB$14),1)</f>
        <v/>
      </c>
      <c r="BC52" s="48">
        <f>BB52*(1+BC$10)*(1-BC$11)*IF(MOD((BC$7-22),12)=0,IF((BC$7-22)=12,BC$12,BC$13)*(1+BC$14),1)</f>
        <v/>
      </c>
      <c r="BD52" s="48">
        <f>BC52*(1+BD$10)*(1-BD$11)*IF(MOD((BD$7-22),12)=0,IF((BD$7-22)=12,BD$12,BD$13)*(1+BD$14),1)</f>
        <v/>
      </c>
      <c r="BE52" s="48">
        <f>BD52*(1+BE$10)*(1-BE$11)*IF(MOD((BE$7-22),12)=0,IF((BE$7-22)=12,BE$12,BE$13)*(1+BE$14),1)</f>
        <v/>
      </c>
      <c r="BF52" s="48">
        <f>BE52*(1+BF$10)*(1-BF$11)*IF(MOD((BF$7-22),12)=0,IF((BF$7-22)=12,BF$12,BF$13)*(1+BF$14),1)</f>
        <v/>
      </c>
      <c r="BG52" s="48">
        <f>BF52*(1+BG$10)*(1-BG$11)*IF(MOD((BG$7-22),12)=0,IF((BG$7-22)=12,BG$12,BG$13)*(1+BG$14),1)</f>
        <v/>
      </c>
      <c r="BH52" s="48">
        <f>BG52*(1+BH$10)*(1-BH$11)*IF(MOD((BH$7-22),12)=0,IF((BH$7-22)=12,BH$12,BH$13)*(1+BH$14),1)</f>
        <v/>
      </c>
      <c r="BI52" s="48">
        <f>BH52*(1+BI$10)*(1-BI$11)*IF(MOD((BI$7-22),12)=0,IF((BI$7-22)=12,BI$12,BI$13)*(1+BI$14),1)</f>
        <v/>
      </c>
      <c r="BJ52" s="48">
        <f>BI52*(1+BJ$10)*(1-BJ$11)*IF(MOD((BJ$7-22),12)=0,IF((BJ$7-22)=12,BJ$12,BJ$13)*(1+BJ$14),1)</f>
        <v/>
      </c>
      <c r="BK52" s="48">
        <f>BJ52*(1+BK$10)*(1-BK$11)*IF(MOD((BK$7-22),12)=0,IF((BK$7-22)=12,BK$12,BK$13)*(1+BK$14),1)</f>
        <v/>
      </c>
    </row>
    <row r="53" hidden="1" outlineLevel="1">
      <c r="B53" s="18" t="inlineStr">
        <is>
          <t xml:space="preserve">    Cohort Nov-27</t>
        </is>
      </c>
      <c r="C53" s="19" t="inlineStr">
        <is>
          <t>$</t>
        </is>
      </c>
      <c r="D53" s="48">
        <f>0</f>
        <v/>
      </c>
      <c r="E53" s="48">
        <f>0</f>
        <v/>
      </c>
      <c r="F53" s="48">
        <f>0</f>
        <v/>
      </c>
      <c r="G53" s="48">
        <f>0</f>
        <v/>
      </c>
      <c r="H53" s="48">
        <f>0</f>
        <v/>
      </c>
      <c r="I53" s="48">
        <f>0</f>
        <v/>
      </c>
      <c r="J53" s="48">
        <f>0</f>
        <v/>
      </c>
      <c r="K53" s="48">
        <f>0</f>
        <v/>
      </c>
      <c r="L53" s="48">
        <f>0</f>
        <v/>
      </c>
      <c r="M53" s="48">
        <f>0</f>
        <v/>
      </c>
      <c r="N53" s="48">
        <f>0</f>
        <v/>
      </c>
      <c r="O53" s="48">
        <f>0</f>
        <v/>
      </c>
      <c r="P53" s="48">
        <f>0</f>
        <v/>
      </c>
      <c r="Q53" s="48">
        <f>0</f>
        <v/>
      </c>
      <c r="R53" s="48">
        <f>0</f>
        <v/>
      </c>
      <c r="S53" s="48">
        <f>0</f>
        <v/>
      </c>
      <c r="T53" s="48">
        <f>0</f>
        <v/>
      </c>
      <c r="U53" s="48">
        <f>0</f>
        <v/>
      </c>
      <c r="V53" s="48">
        <f>0</f>
        <v/>
      </c>
      <c r="W53" s="48">
        <f>0</f>
        <v/>
      </c>
      <c r="X53" s="48">
        <f>0</f>
        <v/>
      </c>
      <c r="Y53" s="48">
        <f>0</f>
        <v/>
      </c>
      <c r="Z53" s="48">
        <f>'Rev-Capacity'!Z29</f>
        <v/>
      </c>
      <c r="AA53" s="48">
        <f>Z53*(1+AA$10)*(1-AA$11)*IF(MOD((AA$7-23),12)=0,IF((AA$7-23)=12,AA$12,AA$13)*(1+AA$14),1)</f>
        <v/>
      </c>
      <c r="AB53" s="48">
        <f>AA53*(1+AB$10)*(1-AB$11)*IF(MOD((AB$7-23),12)=0,IF((AB$7-23)=12,AB$12,AB$13)*(1+AB$14),1)</f>
        <v/>
      </c>
      <c r="AC53" s="48">
        <f>AB53*(1+AC$10)*(1-AC$11)*IF(MOD((AC$7-23),12)=0,IF((AC$7-23)=12,AC$12,AC$13)*(1+AC$14),1)</f>
        <v/>
      </c>
      <c r="AD53" s="48">
        <f>AC53*(1+AD$10)*(1-AD$11)*IF(MOD((AD$7-23),12)=0,IF((AD$7-23)=12,AD$12,AD$13)*(1+AD$14),1)</f>
        <v/>
      </c>
      <c r="AE53" s="48">
        <f>AD53*(1+AE$10)*(1-AE$11)*IF(MOD((AE$7-23),12)=0,IF((AE$7-23)=12,AE$12,AE$13)*(1+AE$14),1)</f>
        <v/>
      </c>
      <c r="AF53" s="48">
        <f>AE53*(1+AF$10)*(1-AF$11)*IF(MOD((AF$7-23),12)=0,IF((AF$7-23)=12,AF$12,AF$13)*(1+AF$14),1)</f>
        <v/>
      </c>
      <c r="AG53" s="48">
        <f>AF53*(1+AG$10)*(1-AG$11)*IF(MOD((AG$7-23),12)=0,IF((AG$7-23)=12,AG$12,AG$13)*(1+AG$14),1)</f>
        <v/>
      </c>
      <c r="AH53" s="48">
        <f>AG53*(1+AH$10)*(1-AH$11)*IF(MOD((AH$7-23),12)=0,IF((AH$7-23)=12,AH$12,AH$13)*(1+AH$14),1)</f>
        <v/>
      </c>
      <c r="AI53" s="48">
        <f>AH53*(1+AI$10)*(1-AI$11)*IF(MOD((AI$7-23),12)=0,IF((AI$7-23)=12,AI$12,AI$13)*(1+AI$14),1)</f>
        <v/>
      </c>
      <c r="AJ53" s="48">
        <f>AI53*(1+AJ$10)*(1-AJ$11)*IF(MOD((AJ$7-23),12)=0,IF((AJ$7-23)=12,AJ$12,AJ$13)*(1+AJ$14),1)</f>
        <v/>
      </c>
      <c r="AK53" s="48">
        <f>AJ53*(1+AK$10)*(1-AK$11)*IF(MOD((AK$7-23),12)=0,IF((AK$7-23)=12,AK$12,AK$13)*(1+AK$14),1)</f>
        <v/>
      </c>
      <c r="AL53" s="48">
        <f>AK53*(1+AL$10)*(1-AL$11)*IF(MOD((AL$7-23),12)=0,IF((AL$7-23)=12,AL$12,AL$13)*(1+AL$14),1)</f>
        <v/>
      </c>
      <c r="AM53" s="48">
        <f>AL53*(1+AM$10)*(1-AM$11)*IF(MOD((AM$7-23),12)=0,IF((AM$7-23)=12,AM$12,AM$13)*(1+AM$14),1)</f>
        <v/>
      </c>
      <c r="AN53" s="48">
        <f>AM53*(1+AN$10)*(1-AN$11)*IF(MOD((AN$7-23),12)=0,IF((AN$7-23)=12,AN$12,AN$13)*(1+AN$14),1)</f>
        <v/>
      </c>
      <c r="AO53" s="48">
        <f>AN53*(1+AO$10)*(1-AO$11)*IF(MOD((AO$7-23),12)=0,IF((AO$7-23)=12,AO$12,AO$13)*(1+AO$14),1)</f>
        <v/>
      </c>
      <c r="AP53" s="48">
        <f>AO53*(1+AP$10)*(1-AP$11)*IF(MOD((AP$7-23),12)=0,IF((AP$7-23)=12,AP$12,AP$13)*(1+AP$14),1)</f>
        <v/>
      </c>
      <c r="AQ53" s="48">
        <f>AP53*(1+AQ$10)*(1-AQ$11)*IF(MOD((AQ$7-23),12)=0,IF((AQ$7-23)=12,AQ$12,AQ$13)*(1+AQ$14),1)</f>
        <v/>
      </c>
      <c r="AR53" s="48">
        <f>AQ53*(1+AR$10)*(1-AR$11)*IF(MOD((AR$7-23),12)=0,IF((AR$7-23)=12,AR$12,AR$13)*(1+AR$14),1)</f>
        <v/>
      </c>
      <c r="AS53" s="48">
        <f>AR53*(1+AS$10)*(1-AS$11)*IF(MOD((AS$7-23),12)=0,IF((AS$7-23)=12,AS$12,AS$13)*(1+AS$14),1)</f>
        <v/>
      </c>
      <c r="AT53" s="48">
        <f>AS53*(1+AT$10)*(1-AT$11)*IF(MOD((AT$7-23),12)=0,IF((AT$7-23)=12,AT$12,AT$13)*(1+AT$14),1)</f>
        <v/>
      </c>
      <c r="AU53" s="48">
        <f>AT53*(1+AU$10)*(1-AU$11)*IF(MOD((AU$7-23),12)=0,IF((AU$7-23)=12,AU$12,AU$13)*(1+AU$14),1)</f>
        <v/>
      </c>
      <c r="AV53" s="48">
        <f>AU53*(1+AV$10)*(1-AV$11)*IF(MOD((AV$7-23),12)=0,IF((AV$7-23)=12,AV$12,AV$13)*(1+AV$14),1)</f>
        <v/>
      </c>
      <c r="AW53" s="48">
        <f>AV53*(1+AW$10)*(1-AW$11)*IF(MOD((AW$7-23),12)=0,IF((AW$7-23)=12,AW$12,AW$13)*(1+AW$14),1)</f>
        <v/>
      </c>
      <c r="AX53" s="48">
        <f>AW53*(1+AX$10)*(1-AX$11)*IF(MOD((AX$7-23),12)=0,IF((AX$7-23)=12,AX$12,AX$13)*(1+AX$14),1)</f>
        <v/>
      </c>
      <c r="AY53" s="48">
        <f>AX53*(1+AY$10)*(1-AY$11)*IF(MOD((AY$7-23),12)=0,IF((AY$7-23)=12,AY$12,AY$13)*(1+AY$14),1)</f>
        <v/>
      </c>
      <c r="AZ53" s="48">
        <f>AY53*(1+AZ$10)*(1-AZ$11)*IF(MOD((AZ$7-23),12)=0,IF((AZ$7-23)=12,AZ$12,AZ$13)*(1+AZ$14),1)</f>
        <v/>
      </c>
      <c r="BA53" s="48">
        <f>AZ53*(1+BA$10)*(1-BA$11)*IF(MOD((BA$7-23),12)=0,IF((BA$7-23)=12,BA$12,BA$13)*(1+BA$14),1)</f>
        <v/>
      </c>
      <c r="BB53" s="48">
        <f>BA53*(1+BB$10)*(1-BB$11)*IF(MOD((BB$7-23),12)=0,IF((BB$7-23)=12,BB$12,BB$13)*(1+BB$14),1)</f>
        <v/>
      </c>
      <c r="BC53" s="48">
        <f>BB53*(1+BC$10)*(1-BC$11)*IF(MOD((BC$7-23),12)=0,IF((BC$7-23)=12,BC$12,BC$13)*(1+BC$14),1)</f>
        <v/>
      </c>
      <c r="BD53" s="48">
        <f>BC53*(1+BD$10)*(1-BD$11)*IF(MOD((BD$7-23),12)=0,IF((BD$7-23)=12,BD$12,BD$13)*(1+BD$14),1)</f>
        <v/>
      </c>
      <c r="BE53" s="48">
        <f>BD53*(1+BE$10)*(1-BE$11)*IF(MOD((BE$7-23),12)=0,IF((BE$7-23)=12,BE$12,BE$13)*(1+BE$14),1)</f>
        <v/>
      </c>
      <c r="BF53" s="48">
        <f>BE53*(1+BF$10)*(1-BF$11)*IF(MOD((BF$7-23),12)=0,IF((BF$7-23)=12,BF$12,BF$13)*(1+BF$14),1)</f>
        <v/>
      </c>
      <c r="BG53" s="48">
        <f>BF53*(1+BG$10)*(1-BG$11)*IF(MOD((BG$7-23),12)=0,IF((BG$7-23)=12,BG$12,BG$13)*(1+BG$14),1)</f>
        <v/>
      </c>
      <c r="BH53" s="48">
        <f>BG53*(1+BH$10)*(1-BH$11)*IF(MOD((BH$7-23),12)=0,IF((BH$7-23)=12,BH$12,BH$13)*(1+BH$14),1)</f>
        <v/>
      </c>
      <c r="BI53" s="48">
        <f>BH53*(1+BI$10)*(1-BI$11)*IF(MOD((BI$7-23),12)=0,IF((BI$7-23)=12,BI$12,BI$13)*(1+BI$14),1)</f>
        <v/>
      </c>
      <c r="BJ53" s="48">
        <f>BI53*(1+BJ$10)*(1-BJ$11)*IF(MOD((BJ$7-23),12)=0,IF((BJ$7-23)=12,BJ$12,BJ$13)*(1+BJ$14),1)</f>
        <v/>
      </c>
      <c r="BK53" s="48">
        <f>BJ53*(1+BK$10)*(1-BK$11)*IF(MOD((BK$7-23),12)=0,IF((BK$7-23)=12,BK$12,BK$13)*(1+BK$14),1)</f>
        <v/>
      </c>
    </row>
    <row r="54" hidden="1" outlineLevel="1">
      <c r="B54" s="18" t="inlineStr">
        <is>
          <t xml:space="preserve">    Cohort Dec-27</t>
        </is>
      </c>
      <c r="C54" s="19" t="inlineStr">
        <is>
          <t>$</t>
        </is>
      </c>
      <c r="D54" s="48">
        <f>0</f>
        <v/>
      </c>
      <c r="E54" s="48">
        <f>0</f>
        <v/>
      </c>
      <c r="F54" s="48">
        <f>0</f>
        <v/>
      </c>
      <c r="G54" s="48">
        <f>0</f>
        <v/>
      </c>
      <c r="H54" s="48">
        <f>0</f>
        <v/>
      </c>
      <c r="I54" s="48">
        <f>0</f>
        <v/>
      </c>
      <c r="J54" s="48">
        <f>0</f>
        <v/>
      </c>
      <c r="K54" s="48">
        <f>0</f>
        <v/>
      </c>
      <c r="L54" s="48">
        <f>0</f>
        <v/>
      </c>
      <c r="M54" s="48">
        <f>0</f>
        <v/>
      </c>
      <c r="N54" s="48">
        <f>0</f>
        <v/>
      </c>
      <c r="O54" s="48">
        <f>0</f>
        <v/>
      </c>
      <c r="P54" s="48">
        <f>0</f>
        <v/>
      </c>
      <c r="Q54" s="48">
        <f>0</f>
        <v/>
      </c>
      <c r="R54" s="48">
        <f>0</f>
        <v/>
      </c>
      <c r="S54" s="48">
        <f>0</f>
        <v/>
      </c>
      <c r="T54" s="48">
        <f>0</f>
        <v/>
      </c>
      <c r="U54" s="48">
        <f>0</f>
        <v/>
      </c>
      <c r="V54" s="48">
        <f>0</f>
        <v/>
      </c>
      <c r="W54" s="48">
        <f>0</f>
        <v/>
      </c>
      <c r="X54" s="48">
        <f>0</f>
        <v/>
      </c>
      <c r="Y54" s="48">
        <f>0</f>
        <v/>
      </c>
      <c r="Z54" s="48">
        <f>0</f>
        <v/>
      </c>
      <c r="AA54" s="48">
        <f>'Rev-Capacity'!AA29</f>
        <v/>
      </c>
      <c r="AB54" s="48">
        <f>AA54*(1+AB$10)*(1-AB$11)*IF(MOD((AB$7-24),12)=0,IF((AB$7-24)=12,AB$12,AB$13)*(1+AB$14),1)</f>
        <v/>
      </c>
      <c r="AC54" s="48">
        <f>AB54*(1+AC$10)*(1-AC$11)*IF(MOD((AC$7-24),12)=0,IF((AC$7-24)=12,AC$12,AC$13)*(1+AC$14),1)</f>
        <v/>
      </c>
      <c r="AD54" s="48">
        <f>AC54*(1+AD$10)*(1-AD$11)*IF(MOD((AD$7-24),12)=0,IF((AD$7-24)=12,AD$12,AD$13)*(1+AD$14),1)</f>
        <v/>
      </c>
      <c r="AE54" s="48">
        <f>AD54*(1+AE$10)*(1-AE$11)*IF(MOD((AE$7-24),12)=0,IF((AE$7-24)=12,AE$12,AE$13)*(1+AE$14),1)</f>
        <v/>
      </c>
      <c r="AF54" s="48">
        <f>AE54*(1+AF$10)*(1-AF$11)*IF(MOD((AF$7-24),12)=0,IF((AF$7-24)=12,AF$12,AF$13)*(1+AF$14),1)</f>
        <v/>
      </c>
      <c r="AG54" s="48">
        <f>AF54*(1+AG$10)*(1-AG$11)*IF(MOD((AG$7-24),12)=0,IF((AG$7-24)=12,AG$12,AG$13)*(1+AG$14),1)</f>
        <v/>
      </c>
      <c r="AH54" s="48">
        <f>AG54*(1+AH$10)*(1-AH$11)*IF(MOD((AH$7-24),12)=0,IF((AH$7-24)=12,AH$12,AH$13)*(1+AH$14),1)</f>
        <v/>
      </c>
      <c r="AI54" s="48">
        <f>AH54*(1+AI$10)*(1-AI$11)*IF(MOD((AI$7-24),12)=0,IF((AI$7-24)=12,AI$12,AI$13)*(1+AI$14),1)</f>
        <v/>
      </c>
      <c r="AJ54" s="48">
        <f>AI54*(1+AJ$10)*(1-AJ$11)*IF(MOD((AJ$7-24),12)=0,IF((AJ$7-24)=12,AJ$12,AJ$13)*(1+AJ$14),1)</f>
        <v/>
      </c>
      <c r="AK54" s="48">
        <f>AJ54*(1+AK$10)*(1-AK$11)*IF(MOD((AK$7-24),12)=0,IF((AK$7-24)=12,AK$12,AK$13)*(1+AK$14),1)</f>
        <v/>
      </c>
      <c r="AL54" s="48">
        <f>AK54*(1+AL$10)*(1-AL$11)*IF(MOD((AL$7-24),12)=0,IF((AL$7-24)=12,AL$12,AL$13)*(1+AL$14),1)</f>
        <v/>
      </c>
      <c r="AM54" s="48">
        <f>AL54*(1+AM$10)*(1-AM$11)*IF(MOD((AM$7-24),12)=0,IF((AM$7-24)=12,AM$12,AM$13)*(1+AM$14),1)</f>
        <v/>
      </c>
      <c r="AN54" s="48">
        <f>AM54*(1+AN$10)*(1-AN$11)*IF(MOD((AN$7-24),12)=0,IF((AN$7-24)=12,AN$12,AN$13)*(1+AN$14),1)</f>
        <v/>
      </c>
      <c r="AO54" s="48">
        <f>AN54*(1+AO$10)*(1-AO$11)*IF(MOD((AO$7-24),12)=0,IF((AO$7-24)=12,AO$12,AO$13)*(1+AO$14),1)</f>
        <v/>
      </c>
      <c r="AP54" s="48">
        <f>AO54*(1+AP$10)*(1-AP$11)*IF(MOD((AP$7-24),12)=0,IF((AP$7-24)=12,AP$12,AP$13)*(1+AP$14),1)</f>
        <v/>
      </c>
      <c r="AQ54" s="48">
        <f>AP54*(1+AQ$10)*(1-AQ$11)*IF(MOD((AQ$7-24),12)=0,IF((AQ$7-24)=12,AQ$12,AQ$13)*(1+AQ$14),1)</f>
        <v/>
      </c>
      <c r="AR54" s="48">
        <f>AQ54*(1+AR$10)*(1-AR$11)*IF(MOD((AR$7-24),12)=0,IF((AR$7-24)=12,AR$12,AR$13)*(1+AR$14),1)</f>
        <v/>
      </c>
      <c r="AS54" s="48">
        <f>AR54*(1+AS$10)*(1-AS$11)*IF(MOD((AS$7-24),12)=0,IF((AS$7-24)=12,AS$12,AS$13)*(1+AS$14),1)</f>
        <v/>
      </c>
      <c r="AT54" s="48">
        <f>AS54*(1+AT$10)*(1-AT$11)*IF(MOD((AT$7-24),12)=0,IF((AT$7-24)=12,AT$12,AT$13)*(1+AT$14),1)</f>
        <v/>
      </c>
      <c r="AU54" s="48">
        <f>AT54*(1+AU$10)*(1-AU$11)*IF(MOD((AU$7-24),12)=0,IF((AU$7-24)=12,AU$12,AU$13)*(1+AU$14),1)</f>
        <v/>
      </c>
      <c r="AV54" s="48">
        <f>AU54*(1+AV$10)*(1-AV$11)*IF(MOD((AV$7-24),12)=0,IF((AV$7-24)=12,AV$12,AV$13)*(1+AV$14),1)</f>
        <v/>
      </c>
      <c r="AW54" s="48">
        <f>AV54*(1+AW$10)*(1-AW$11)*IF(MOD((AW$7-24),12)=0,IF((AW$7-24)=12,AW$12,AW$13)*(1+AW$14),1)</f>
        <v/>
      </c>
      <c r="AX54" s="48">
        <f>AW54*(1+AX$10)*(1-AX$11)*IF(MOD((AX$7-24),12)=0,IF((AX$7-24)=12,AX$12,AX$13)*(1+AX$14),1)</f>
        <v/>
      </c>
      <c r="AY54" s="48">
        <f>AX54*(1+AY$10)*(1-AY$11)*IF(MOD((AY$7-24),12)=0,IF((AY$7-24)=12,AY$12,AY$13)*(1+AY$14),1)</f>
        <v/>
      </c>
      <c r="AZ54" s="48">
        <f>AY54*(1+AZ$10)*(1-AZ$11)*IF(MOD((AZ$7-24),12)=0,IF((AZ$7-24)=12,AZ$12,AZ$13)*(1+AZ$14),1)</f>
        <v/>
      </c>
      <c r="BA54" s="48">
        <f>AZ54*(1+BA$10)*(1-BA$11)*IF(MOD((BA$7-24),12)=0,IF((BA$7-24)=12,BA$12,BA$13)*(1+BA$14),1)</f>
        <v/>
      </c>
      <c r="BB54" s="48">
        <f>BA54*(1+BB$10)*(1-BB$11)*IF(MOD((BB$7-24),12)=0,IF((BB$7-24)=12,BB$12,BB$13)*(1+BB$14),1)</f>
        <v/>
      </c>
      <c r="BC54" s="48">
        <f>BB54*(1+BC$10)*(1-BC$11)*IF(MOD((BC$7-24),12)=0,IF((BC$7-24)=12,BC$12,BC$13)*(1+BC$14),1)</f>
        <v/>
      </c>
      <c r="BD54" s="48">
        <f>BC54*(1+BD$10)*(1-BD$11)*IF(MOD((BD$7-24),12)=0,IF((BD$7-24)=12,BD$12,BD$13)*(1+BD$14),1)</f>
        <v/>
      </c>
      <c r="BE54" s="48">
        <f>BD54*(1+BE$10)*(1-BE$11)*IF(MOD((BE$7-24),12)=0,IF((BE$7-24)=12,BE$12,BE$13)*(1+BE$14),1)</f>
        <v/>
      </c>
      <c r="BF54" s="48">
        <f>BE54*(1+BF$10)*(1-BF$11)*IF(MOD((BF$7-24),12)=0,IF((BF$7-24)=12,BF$12,BF$13)*(1+BF$14),1)</f>
        <v/>
      </c>
      <c r="BG54" s="48">
        <f>BF54*(1+BG$10)*(1-BG$11)*IF(MOD((BG$7-24),12)=0,IF((BG$7-24)=12,BG$12,BG$13)*(1+BG$14),1)</f>
        <v/>
      </c>
      <c r="BH54" s="48">
        <f>BG54*(1+BH$10)*(1-BH$11)*IF(MOD((BH$7-24),12)=0,IF((BH$7-24)=12,BH$12,BH$13)*(1+BH$14),1)</f>
        <v/>
      </c>
      <c r="BI54" s="48">
        <f>BH54*(1+BI$10)*(1-BI$11)*IF(MOD((BI$7-24),12)=0,IF((BI$7-24)=12,BI$12,BI$13)*(1+BI$14),1)</f>
        <v/>
      </c>
      <c r="BJ54" s="48">
        <f>BI54*(1+BJ$10)*(1-BJ$11)*IF(MOD((BJ$7-24),12)=0,IF((BJ$7-24)=12,BJ$12,BJ$13)*(1+BJ$14),1)</f>
        <v/>
      </c>
      <c r="BK54" s="48">
        <f>BJ54*(1+BK$10)*(1-BK$11)*IF(MOD((BK$7-24),12)=0,IF((BK$7-24)=12,BK$12,BK$13)*(1+BK$14),1)</f>
        <v/>
      </c>
    </row>
    <row r="55" hidden="1" outlineLevel="1">
      <c r="B55" s="18" t="inlineStr">
        <is>
          <t xml:space="preserve">    Cohort Jan-28</t>
        </is>
      </c>
      <c r="C55" s="19" t="inlineStr">
        <is>
          <t>$</t>
        </is>
      </c>
      <c r="D55" s="48">
        <f>0</f>
        <v/>
      </c>
      <c r="E55" s="48">
        <f>0</f>
        <v/>
      </c>
      <c r="F55" s="48">
        <f>0</f>
        <v/>
      </c>
      <c r="G55" s="48">
        <f>0</f>
        <v/>
      </c>
      <c r="H55" s="48">
        <f>0</f>
        <v/>
      </c>
      <c r="I55" s="48">
        <f>0</f>
        <v/>
      </c>
      <c r="J55" s="48">
        <f>0</f>
        <v/>
      </c>
      <c r="K55" s="48">
        <f>0</f>
        <v/>
      </c>
      <c r="L55" s="48">
        <f>0</f>
        <v/>
      </c>
      <c r="M55" s="48">
        <f>0</f>
        <v/>
      </c>
      <c r="N55" s="48">
        <f>0</f>
        <v/>
      </c>
      <c r="O55" s="48">
        <f>0</f>
        <v/>
      </c>
      <c r="P55" s="48">
        <f>0</f>
        <v/>
      </c>
      <c r="Q55" s="48">
        <f>0</f>
        <v/>
      </c>
      <c r="R55" s="48">
        <f>0</f>
        <v/>
      </c>
      <c r="S55" s="48">
        <f>0</f>
        <v/>
      </c>
      <c r="T55" s="48">
        <f>0</f>
        <v/>
      </c>
      <c r="U55" s="48">
        <f>0</f>
        <v/>
      </c>
      <c r="V55" s="48">
        <f>0</f>
        <v/>
      </c>
      <c r="W55" s="48">
        <f>0</f>
        <v/>
      </c>
      <c r="X55" s="48">
        <f>0</f>
        <v/>
      </c>
      <c r="Y55" s="48">
        <f>0</f>
        <v/>
      </c>
      <c r="Z55" s="48">
        <f>0</f>
        <v/>
      </c>
      <c r="AA55" s="48">
        <f>0</f>
        <v/>
      </c>
      <c r="AB55" s="48">
        <f>'Rev-Capacity'!AB29</f>
        <v/>
      </c>
      <c r="AC55" s="48">
        <f>AB55*(1+AC$10)*(1-AC$11)*IF(MOD((AC$7-25),12)=0,IF((AC$7-25)=12,AC$12,AC$13)*(1+AC$14),1)</f>
        <v/>
      </c>
      <c r="AD55" s="48">
        <f>AC55*(1+AD$10)*(1-AD$11)*IF(MOD((AD$7-25),12)=0,IF((AD$7-25)=12,AD$12,AD$13)*(1+AD$14),1)</f>
        <v/>
      </c>
      <c r="AE55" s="48">
        <f>AD55*(1+AE$10)*(1-AE$11)*IF(MOD((AE$7-25),12)=0,IF((AE$7-25)=12,AE$12,AE$13)*(1+AE$14),1)</f>
        <v/>
      </c>
      <c r="AF55" s="48">
        <f>AE55*(1+AF$10)*(1-AF$11)*IF(MOD((AF$7-25),12)=0,IF((AF$7-25)=12,AF$12,AF$13)*(1+AF$14),1)</f>
        <v/>
      </c>
      <c r="AG55" s="48">
        <f>AF55*(1+AG$10)*(1-AG$11)*IF(MOD((AG$7-25),12)=0,IF((AG$7-25)=12,AG$12,AG$13)*(1+AG$14),1)</f>
        <v/>
      </c>
      <c r="AH55" s="48">
        <f>AG55*(1+AH$10)*(1-AH$11)*IF(MOD((AH$7-25),12)=0,IF((AH$7-25)=12,AH$12,AH$13)*(1+AH$14),1)</f>
        <v/>
      </c>
      <c r="AI55" s="48">
        <f>AH55*(1+AI$10)*(1-AI$11)*IF(MOD((AI$7-25),12)=0,IF((AI$7-25)=12,AI$12,AI$13)*(1+AI$14),1)</f>
        <v/>
      </c>
      <c r="AJ55" s="48">
        <f>AI55*(1+AJ$10)*(1-AJ$11)*IF(MOD((AJ$7-25),12)=0,IF((AJ$7-25)=12,AJ$12,AJ$13)*(1+AJ$14),1)</f>
        <v/>
      </c>
      <c r="AK55" s="48">
        <f>AJ55*(1+AK$10)*(1-AK$11)*IF(MOD((AK$7-25),12)=0,IF((AK$7-25)=12,AK$12,AK$13)*(1+AK$14),1)</f>
        <v/>
      </c>
      <c r="AL55" s="48">
        <f>AK55*(1+AL$10)*(1-AL$11)*IF(MOD((AL$7-25),12)=0,IF((AL$7-25)=12,AL$12,AL$13)*(1+AL$14),1)</f>
        <v/>
      </c>
      <c r="AM55" s="48">
        <f>AL55*(1+AM$10)*(1-AM$11)*IF(MOD((AM$7-25),12)=0,IF((AM$7-25)=12,AM$12,AM$13)*(1+AM$14),1)</f>
        <v/>
      </c>
      <c r="AN55" s="48">
        <f>AM55*(1+AN$10)*(1-AN$11)*IF(MOD((AN$7-25),12)=0,IF((AN$7-25)=12,AN$12,AN$13)*(1+AN$14),1)</f>
        <v/>
      </c>
      <c r="AO55" s="48">
        <f>AN55*(1+AO$10)*(1-AO$11)*IF(MOD((AO$7-25),12)=0,IF((AO$7-25)=12,AO$12,AO$13)*(1+AO$14),1)</f>
        <v/>
      </c>
      <c r="AP55" s="48">
        <f>AO55*(1+AP$10)*(1-AP$11)*IF(MOD((AP$7-25),12)=0,IF((AP$7-25)=12,AP$12,AP$13)*(1+AP$14),1)</f>
        <v/>
      </c>
      <c r="AQ55" s="48">
        <f>AP55*(1+AQ$10)*(1-AQ$11)*IF(MOD((AQ$7-25),12)=0,IF((AQ$7-25)=12,AQ$12,AQ$13)*(1+AQ$14),1)</f>
        <v/>
      </c>
      <c r="AR55" s="48">
        <f>AQ55*(1+AR$10)*(1-AR$11)*IF(MOD((AR$7-25),12)=0,IF((AR$7-25)=12,AR$12,AR$13)*(1+AR$14),1)</f>
        <v/>
      </c>
      <c r="AS55" s="48">
        <f>AR55*(1+AS$10)*(1-AS$11)*IF(MOD((AS$7-25),12)=0,IF((AS$7-25)=12,AS$12,AS$13)*(1+AS$14),1)</f>
        <v/>
      </c>
      <c r="AT55" s="48">
        <f>AS55*(1+AT$10)*(1-AT$11)*IF(MOD((AT$7-25),12)=0,IF((AT$7-25)=12,AT$12,AT$13)*(1+AT$14),1)</f>
        <v/>
      </c>
      <c r="AU55" s="48">
        <f>AT55*(1+AU$10)*(1-AU$11)*IF(MOD((AU$7-25),12)=0,IF((AU$7-25)=12,AU$12,AU$13)*(1+AU$14),1)</f>
        <v/>
      </c>
      <c r="AV55" s="48">
        <f>AU55*(1+AV$10)*(1-AV$11)*IF(MOD((AV$7-25),12)=0,IF((AV$7-25)=12,AV$12,AV$13)*(1+AV$14),1)</f>
        <v/>
      </c>
      <c r="AW55" s="48">
        <f>AV55*(1+AW$10)*(1-AW$11)*IF(MOD((AW$7-25),12)=0,IF((AW$7-25)=12,AW$12,AW$13)*(1+AW$14),1)</f>
        <v/>
      </c>
      <c r="AX55" s="48">
        <f>AW55*(1+AX$10)*(1-AX$11)*IF(MOD((AX$7-25),12)=0,IF((AX$7-25)=12,AX$12,AX$13)*(1+AX$14),1)</f>
        <v/>
      </c>
      <c r="AY55" s="48">
        <f>AX55*(1+AY$10)*(1-AY$11)*IF(MOD((AY$7-25),12)=0,IF((AY$7-25)=12,AY$12,AY$13)*(1+AY$14),1)</f>
        <v/>
      </c>
      <c r="AZ55" s="48">
        <f>AY55*(1+AZ$10)*(1-AZ$11)*IF(MOD((AZ$7-25),12)=0,IF((AZ$7-25)=12,AZ$12,AZ$13)*(1+AZ$14),1)</f>
        <v/>
      </c>
      <c r="BA55" s="48">
        <f>AZ55*(1+BA$10)*(1-BA$11)*IF(MOD((BA$7-25),12)=0,IF((BA$7-25)=12,BA$12,BA$13)*(1+BA$14),1)</f>
        <v/>
      </c>
      <c r="BB55" s="48">
        <f>BA55*(1+BB$10)*(1-BB$11)*IF(MOD((BB$7-25),12)=0,IF((BB$7-25)=12,BB$12,BB$13)*(1+BB$14),1)</f>
        <v/>
      </c>
      <c r="BC55" s="48">
        <f>BB55*(1+BC$10)*(1-BC$11)*IF(MOD((BC$7-25),12)=0,IF((BC$7-25)=12,BC$12,BC$13)*(1+BC$14),1)</f>
        <v/>
      </c>
      <c r="BD55" s="48">
        <f>BC55*(1+BD$10)*(1-BD$11)*IF(MOD((BD$7-25),12)=0,IF((BD$7-25)=12,BD$12,BD$13)*(1+BD$14),1)</f>
        <v/>
      </c>
      <c r="BE55" s="48">
        <f>BD55*(1+BE$10)*(1-BE$11)*IF(MOD((BE$7-25),12)=0,IF((BE$7-25)=12,BE$12,BE$13)*(1+BE$14),1)</f>
        <v/>
      </c>
      <c r="BF55" s="48">
        <f>BE55*(1+BF$10)*(1-BF$11)*IF(MOD((BF$7-25),12)=0,IF((BF$7-25)=12,BF$12,BF$13)*(1+BF$14),1)</f>
        <v/>
      </c>
      <c r="BG55" s="48">
        <f>BF55*(1+BG$10)*(1-BG$11)*IF(MOD((BG$7-25),12)=0,IF((BG$7-25)=12,BG$12,BG$13)*(1+BG$14),1)</f>
        <v/>
      </c>
      <c r="BH55" s="48">
        <f>BG55*(1+BH$10)*(1-BH$11)*IF(MOD((BH$7-25),12)=0,IF((BH$7-25)=12,BH$12,BH$13)*(1+BH$14),1)</f>
        <v/>
      </c>
      <c r="BI55" s="48">
        <f>BH55*(1+BI$10)*(1-BI$11)*IF(MOD((BI$7-25),12)=0,IF((BI$7-25)=12,BI$12,BI$13)*(1+BI$14),1)</f>
        <v/>
      </c>
      <c r="BJ55" s="48">
        <f>BI55*(1+BJ$10)*(1-BJ$11)*IF(MOD((BJ$7-25),12)=0,IF((BJ$7-25)=12,BJ$12,BJ$13)*(1+BJ$14),1)</f>
        <v/>
      </c>
      <c r="BK55" s="48">
        <f>BJ55*(1+BK$10)*(1-BK$11)*IF(MOD((BK$7-25),12)=0,IF((BK$7-25)=12,BK$12,BK$13)*(1+BK$14),1)</f>
        <v/>
      </c>
    </row>
    <row r="56" hidden="1" outlineLevel="1">
      <c r="B56" s="18" t="inlineStr">
        <is>
          <t xml:space="preserve">    Cohort Feb-28</t>
        </is>
      </c>
      <c r="C56" s="19" t="inlineStr">
        <is>
          <t>$</t>
        </is>
      </c>
      <c r="D56" s="48">
        <f>0</f>
        <v/>
      </c>
      <c r="E56" s="48">
        <f>0</f>
        <v/>
      </c>
      <c r="F56" s="48">
        <f>0</f>
        <v/>
      </c>
      <c r="G56" s="48">
        <f>0</f>
        <v/>
      </c>
      <c r="H56" s="48">
        <f>0</f>
        <v/>
      </c>
      <c r="I56" s="48">
        <f>0</f>
        <v/>
      </c>
      <c r="J56" s="48">
        <f>0</f>
        <v/>
      </c>
      <c r="K56" s="48">
        <f>0</f>
        <v/>
      </c>
      <c r="L56" s="48">
        <f>0</f>
        <v/>
      </c>
      <c r="M56" s="48">
        <f>0</f>
        <v/>
      </c>
      <c r="N56" s="48">
        <f>0</f>
        <v/>
      </c>
      <c r="O56" s="48">
        <f>0</f>
        <v/>
      </c>
      <c r="P56" s="48">
        <f>0</f>
        <v/>
      </c>
      <c r="Q56" s="48">
        <f>0</f>
        <v/>
      </c>
      <c r="R56" s="48">
        <f>0</f>
        <v/>
      </c>
      <c r="S56" s="48">
        <f>0</f>
        <v/>
      </c>
      <c r="T56" s="48">
        <f>0</f>
        <v/>
      </c>
      <c r="U56" s="48">
        <f>0</f>
        <v/>
      </c>
      <c r="V56" s="48">
        <f>0</f>
        <v/>
      </c>
      <c r="W56" s="48">
        <f>0</f>
        <v/>
      </c>
      <c r="X56" s="48">
        <f>0</f>
        <v/>
      </c>
      <c r="Y56" s="48">
        <f>0</f>
        <v/>
      </c>
      <c r="Z56" s="48">
        <f>0</f>
        <v/>
      </c>
      <c r="AA56" s="48">
        <f>0</f>
        <v/>
      </c>
      <c r="AB56" s="48">
        <f>0</f>
        <v/>
      </c>
      <c r="AC56" s="48">
        <f>'Rev-Capacity'!AC29</f>
        <v/>
      </c>
      <c r="AD56" s="48">
        <f>AC56*(1+AD$10)*(1-AD$11)*IF(MOD((AD$7-26),12)=0,IF((AD$7-26)=12,AD$12,AD$13)*(1+AD$14),1)</f>
        <v/>
      </c>
      <c r="AE56" s="48">
        <f>AD56*(1+AE$10)*(1-AE$11)*IF(MOD((AE$7-26),12)=0,IF((AE$7-26)=12,AE$12,AE$13)*(1+AE$14),1)</f>
        <v/>
      </c>
      <c r="AF56" s="48">
        <f>AE56*(1+AF$10)*(1-AF$11)*IF(MOD((AF$7-26),12)=0,IF((AF$7-26)=12,AF$12,AF$13)*(1+AF$14),1)</f>
        <v/>
      </c>
      <c r="AG56" s="48">
        <f>AF56*(1+AG$10)*(1-AG$11)*IF(MOD((AG$7-26),12)=0,IF((AG$7-26)=12,AG$12,AG$13)*(1+AG$14),1)</f>
        <v/>
      </c>
      <c r="AH56" s="48">
        <f>AG56*(1+AH$10)*(1-AH$11)*IF(MOD((AH$7-26),12)=0,IF((AH$7-26)=12,AH$12,AH$13)*(1+AH$14),1)</f>
        <v/>
      </c>
      <c r="AI56" s="48">
        <f>AH56*(1+AI$10)*(1-AI$11)*IF(MOD((AI$7-26),12)=0,IF((AI$7-26)=12,AI$12,AI$13)*(1+AI$14),1)</f>
        <v/>
      </c>
      <c r="AJ56" s="48">
        <f>AI56*(1+AJ$10)*(1-AJ$11)*IF(MOD((AJ$7-26),12)=0,IF((AJ$7-26)=12,AJ$12,AJ$13)*(1+AJ$14),1)</f>
        <v/>
      </c>
      <c r="AK56" s="48">
        <f>AJ56*(1+AK$10)*(1-AK$11)*IF(MOD((AK$7-26),12)=0,IF((AK$7-26)=12,AK$12,AK$13)*(1+AK$14),1)</f>
        <v/>
      </c>
      <c r="AL56" s="48">
        <f>AK56*(1+AL$10)*(1-AL$11)*IF(MOD((AL$7-26),12)=0,IF((AL$7-26)=12,AL$12,AL$13)*(1+AL$14),1)</f>
        <v/>
      </c>
      <c r="AM56" s="48">
        <f>AL56*(1+AM$10)*(1-AM$11)*IF(MOD((AM$7-26),12)=0,IF((AM$7-26)=12,AM$12,AM$13)*(1+AM$14),1)</f>
        <v/>
      </c>
      <c r="AN56" s="48">
        <f>AM56*(1+AN$10)*(1-AN$11)*IF(MOD((AN$7-26),12)=0,IF((AN$7-26)=12,AN$12,AN$13)*(1+AN$14),1)</f>
        <v/>
      </c>
      <c r="AO56" s="48">
        <f>AN56*(1+AO$10)*(1-AO$11)*IF(MOD((AO$7-26),12)=0,IF((AO$7-26)=12,AO$12,AO$13)*(1+AO$14),1)</f>
        <v/>
      </c>
      <c r="AP56" s="48">
        <f>AO56*(1+AP$10)*(1-AP$11)*IF(MOD((AP$7-26),12)=0,IF((AP$7-26)=12,AP$12,AP$13)*(1+AP$14),1)</f>
        <v/>
      </c>
      <c r="AQ56" s="48">
        <f>AP56*(1+AQ$10)*(1-AQ$11)*IF(MOD((AQ$7-26),12)=0,IF((AQ$7-26)=12,AQ$12,AQ$13)*(1+AQ$14),1)</f>
        <v/>
      </c>
      <c r="AR56" s="48">
        <f>AQ56*(1+AR$10)*(1-AR$11)*IF(MOD((AR$7-26),12)=0,IF((AR$7-26)=12,AR$12,AR$13)*(1+AR$14),1)</f>
        <v/>
      </c>
      <c r="AS56" s="48">
        <f>AR56*(1+AS$10)*(1-AS$11)*IF(MOD((AS$7-26),12)=0,IF((AS$7-26)=12,AS$12,AS$13)*(1+AS$14),1)</f>
        <v/>
      </c>
      <c r="AT56" s="48">
        <f>AS56*(1+AT$10)*(1-AT$11)*IF(MOD((AT$7-26),12)=0,IF((AT$7-26)=12,AT$12,AT$13)*(1+AT$14),1)</f>
        <v/>
      </c>
      <c r="AU56" s="48">
        <f>AT56*(1+AU$10)*(1-AU$11)*IF(MOD((AU$7-26),12)=0,IF((AU$7-26)=12,AU$12,AU$13)*(1+AU$14),1)</f>
        <v/>
      </c>
      <c r="AV56" s="48">
        <f>AU56*(1+AV$10)*(1-AV$11)*IF(MOD((AV$7-26),12)=0,IF((AV$7-26)=12,AV$12,AV$13)*(1+AV$14),1)</f>
        <v/>
      </c>
      <c r="AW56" s="48">
        <f>AV56*(1+AW$10)*(1-AW$11)*IF(MOD((AW$7-26),12)=0,IF((AW$7-26)=12,AW$12,AW$13)*(1+AW$14),1)</f>
        <v/>
      </c>
      <c r="AX56" s="48">
        <f>AW56*(1+AX$10)*(1-AX$11)*IF(MOD((AX$7-26),12)=0,IF((AX$7-26)=12,AX$12,AX$13)*(1+AX$14),1)</f>
        <v/>
      </c>
      <c r="AY56" s="48">
        <f>AX56*(1+AY$10)*(1-AY$11)*IF(MOD((AY$7-26),12)=0,IF((AY$7-26)=12,AY$12,AY$13)*(1+AY$14),1)</f>
        <v/>
      </c>
      <c r="AZ56" s="48">
        <f>AY56*(1+AZ$10)*(1-AZ$11)*IF(MOD((AZ$7-26),12)=0,IF((AZ$7-26)=12,AZ$12,AZ$13)*(1+AZ$14),1)</f>
        <v/>
      </c>
      <c r="BA56" s="48">
        <f>AZ56*(1+BA$10)*(1-BA$11)*IF(MOD((BA$7-26),12)=0,IF((BA$7-26)=12,BA$12,BA$13)*(1+BA$14),1)</f>
        <v/>
      </c>
      <c r="BB56" s="48">
        <f>BA56*(1+BB$10)*(1-BB$11)*IF(MOD((BB$7-26),12)=0,IF((BB$7-26)=12,BB$12,BB$13)*(1+BB$14),1)</f>
        <v/>
      </c>
      <c r="BC56" s="48">
        <f>BB56*(1+BC$10)*(1-BC$11)*IF(MOD((BC$7-26),12)=0,IF((BC$7-26)=12,BC$12,BC$13)*(1+BC$14),1)</f>
        <v/>
      </c>
      <c r="BD56" s="48">
        <f>BC56*(1+BD$10)*(1-BD$11)*IF(MOD((BD$7-26),12)=0,IF((BD$7-26)=12,BD$12,BD$13)*(1+BD$14),1)</f>
        <v/>
      </c>
      <c r="BE56" s="48">
        <f>BD56*(1+BE$10)*(1-BE$11)*IF(MOD((BE$7-26),12)=0,IF((BE$7-26)=12,BE$12,BE$13)*(1+BE$14),1)</f>
        <v/>
      </c>
      <c r="BF56" s="48">
        <f>BE56*(1+BF$10)*(1-BF$11)*IF(MOD((BF$7-26),12)=0,IF((BF$7-26)=12,BF$12,BF$13)*(1+BF$14),1)</f>
        <v/>
      </c>
      <c r="BG56" s="48">
        <f>BF56*(1+BG$10)*(1-BG$11)*IF(MOD((BG$7-26),12)=0,IF((BG$7-26)=12,BG$12,BG$13)*(1+BG$14),1)</f>
        <v/>
      </c>
      <c r="BH56" s="48">
        <f>BG56*(1+BH$10)*(1-BH$11)*IF(MOD((BH$7-26),12)=0,IF((BH$7-26)=12,BH$12,BH$13)*(1+BH$14),1)</f>
        <v/>
      </c>
      <c r="BI56" s="48">
        <f>BH56*(1+BI$10)*(1-BI$11)*IF(MOD((BI$7-26),12)=0,IF((BI$7-26)=12,BI$12,BI$13)*(1+BI$14),1)</f>
        <v/>
      </c>
      <c r="BJ56" s="48">
        <f>BI56*(1+BJ$10)*(1-BJ$11)*IF(MOD((BJ$7-26),12)=0,IF((BJ$7-26)=12,BJ$12,BJ$13)*(1+BJ$14),1)</f>
        <v/>
      </c>
      <c r="BK56" s="48">
        <f>BJ56*(1+BK$10)*(1-BK$11)*IF(MOD((BK$7-26),12)=0,IF((BK$7-26)=12,BK$12,BK$13)*(1+BK$14),1)</f>
        <v/>
      </c>
    </row>
    <row r="57" hidden="1" outlineLevel="1">
      <c r="B57" s="18" t="inlineStr">
        <is>
          <t xml:space="preserve">    Cohort Mar-28</t>
        </is>
      </c>
      <c r="C57" s="19" t="inlineStr">
        <is>
          <t>$</t>
        </is>
      </c>
      <c r="D57" s="48">
        <f>0</f>
        <v/>
      </c>
      <c r="E57" s="48">
        <f>0</f>
        <v/>
      </c>
      <c r="F57" s="48">
        <f>0</f>
        <v/>
      </c>
      <c r="G57" s="48">
        <f>0</f>
        <v/>
      </c>
      <c r="H57" s="48">
        <f>0</f>
        <v/>
      </c>
      <c r="I57" s="48">
        <f>0</f>
        <v/>
      </c>
      <c r="J57" s="48">
        <f>0</f>
        <v/>
      </c>
      <c r="K57" s="48">
        <f>0</f>
        <v/>
      </c>
      <c r="L57" s="48">
        <f>0</f>
        <v/>
      </c>
      <c r="M57" s="48">
        <f>0</f>
        <v/>
      </c>
      <c r="N57" s="48">
        <f>0</f>
        <v/>
      </c>
      <c r="O57" s="48">
        <f>0</f>
        <v/>
      </c>
      <c r="P57" s="48">
        <f>0</f>
        <v/>
      </c>
      <c r="Q57" s="48">
        <f>0</f>
        <v/>
      </c>
      <c r="R57" s="48">
        <f>0</f>
        <v/>
      </c>
      <c r="S57" s="48">
        <f>0</f>
        <v/>
      </c>
      <c r="T57" s="48">
        <f>0</f>
        <v/>
      </c>
      <c r="U57" s="48">
        <f>0</f>
        <v/>
      </c>
      <c r="V57" s="48">
        <f>0</f>
        <v/>
      </c>
      <c r="W57" s="48">
        <f>0</f>
        <v/>
      </c>
      <c r="X57" s="48">
        <f>0</f>
        <v/>
      </c>
      <c r="Y57" s="48">
        <f>0</f>
        <v/>
      </c>
      <c r="Z57" s="48">
        <f>0</f>
        <v/>
      </c>
      <c r="AA57" s="48">
        <f>0</f>
        <v/>
      </c>
      <c r="AB57" s="48">
        <f>0</f>
        <v/>
      </c>
      <c r="AC57" s="48">
        <f>0</f>
        <v/>
      </c>
      <c r="AD57" s="48">
        <f>'Rev-Capacity'!AD29</f>
        <v/>
      </c>
      <c r="AE57" s="48">
        <f>AD57*(1+AE$10)*(1-AE$11)*IF(MOD((AE$7-27),12)=0,IF((AE$7-27)=12,AE$12,AE$13)*(1+AE$14),1)</f>
        <v/>
      </c>
      <c r="AF57" s="48">
        <f>AE57*(1+AF$10)*(1-AF$11)*IF(MOD((AF$7-27),12)=0,IF((AF$7-27)=12,AF$12,AF$13)*(1+AF$14),1)</f>
        <v/>
      </c>
      <c r="AG57" s="48">
        <f>AF57*(1+AG$10)*(1-AG$11)*IF(MOD((AG$7-27),12)=0,IF((AG$7-27)=12,AG$12,AG$13)*(1+AG$14),1)</f>
        <v/>
      </c>
      <c r="AH57" s="48">
        <f>AG57*(1+AH$10)*(1-AH$11)*IF(MOD((AH$7-27),12)=0,IF((AH$7-27)=12,AH$12,AH$13)*(1+AH$14),1)</f>
        <v/>
      </c>
      <c r="AI57" s="48">
        <f>AH57*(1+AI$10)*(1-AI$11)*IF(MOD((AI$7-27),12)=0,IF((AI$7-27)=12,AI$12,AI$13)*(1+AI$14),1)</f>
        <v/>
      </c>
      <c r="AJ57" s="48">
        <f>AI57*(1+AJ$10)*(1-AJ$11)*IF(MOD((AJ$7-27),12)=0,IF((AJ$7-27)=12,AJ$12,AJ$13)*(1+AJ$14),1)</f>
        <v/>
      </c>
      <c r="AK57" s="48">
        <f>AJ57*(1+AK$10)*(1-AK$11)*IF(MOD((AK$7-27),12)=0,IF((AK$7-27)=12,AK$12,AK$13)*(1+AK$14),1)</f>
        <v/>
      </c>
      <c r="AL57" s="48">
        <f>AK57*(1+AL$10)*(1-AL$11)*IF(MOD((AL$7-27),12)=0,IF((AL$7-27)=12,AL$12,AL$13)*(1+AL$14),1)</f>
        <v/>
      </c>
      <c r="AM57" s="48">
        <f>AL57*(1+AM$10)*(1-AM$11)*IF(MOD((AM$7-27),12)=0,IF((AM$7-27)=12,AM$12,AM$13)*(1+AM$14),1)</f>
        <v/>
      </c>
      <c r="AN57" s="48">
        <f>AM57*(1+AN$10)*(1-AN$11)*IF(MOD((AN$7-27),12)=0,IF((AN$7-27)=12,AN$12,AN$13)*(1+AN$14),1)</f>
        <v/>
      </c>
      <c r="AO57" s="48">
        <f>AN57*(1+AO$10)*(1-AO$11)*IF(MOD((AO$7-27),12)=0,IF((AO$7-27)=12,AO$12,AO$13)*(1+AO$14),1)</f>
        <v/>
      </c>
      <c r="AP57" s="48">
        <f>AO57*(1+AP$10)*(1-AP$11)*IF(MOD((AP$7-27),12)=0,IF((AP$7-27)=12,AP$12,AP$13)*(1+AP$14),1)</f>
        <v/>
      </c>
      <c r="AQ57" s="48">
        <f>AP57*(1+AQ$10)*(1-AQ$11)*IF(MOD((AQ$7-27),12)=0,IF((AQ$7-27)=12,AQ$12,AQ$13)*(1+AQ$14),1)</f>
        <v/>
      </c>
      <c r="AR57" s="48">
        <f>AQ57*(1+AR$10)*(1-AR$11)*IF(MOD((AR$7-27),12)=0,IF((AR$7-27)=12,AR$12,AR$13)*(1+AR$14),1)</f>
        <v/>
      </c>
      <c r="AS57" s="48">
        <f>AR57*(1+AS$10)*(1-AS$11)*IF(MOD((AS$7-27),12)=0,IF((AS$7-27)=12,AS$12,AS$13)*(1+AS$14),1)</f>
        <v/>
      </c>
      <c r="AT57" s="48">
        <f>AS57*(1+AT$10)*(1-AT$11)*IF(MOD((AT$7-27),12)=0,IF((AT$7-27)=12,AT$12,AT$13)*(1+AT$14),1)</f>
        <v/>
      </c>
      <c r="AU57" s="48">
        <f>AT57*(1+AU$10)*(1-AU$11)*IF(MOD((AU$7-27),12)=0,IF((AU$7-27)=12,AU$12,AU$13)*(1+AU$14),1)</f>
        <v/>
      </c>
      <c r="AV57" s="48">
        <f>AU57*(1+AV$10)*(1-AV$11)*IF(MOD((AV$7-27),12)=0,IF((AV$7-27)=12,AV$12,AV$13)*(1+AV$14),1)</f>
        <v/>
      </c>
      <c r="AW57" s="48">
        <f>AV57*(1+AW$10)*(1-AW$11)*IF(MOD((AW$7-27),12)=0,IF((AW$7-27)=12,AW$12,AW$13)*(1+AW$14),1)</f>
        <v/>
      </c>
      <c r="AX57" s="48">
        <f>AW57*(1+AX$10)*(1-AX$11)*IF(MOD((AX$7-27),12)=0,IF((AX$7-27)=12,AX$12,AX$13)*(1+AX$14),1)</f>
        <v/>
      </c>
      <c r="AY57" s="48">
        <f>AX57*(1+AY$10)*(1-AY$11)*IF(MOD((AY$7-27),12)=0,IF((AY$7-27)=12,AY$12,AY$13)*(1+AY$14),1)</f>
        <v/>
      </c>
      <c r="AZ57" s="48">
        <f>AY57*(1+AZ$10)*(1-AZ$11)*IF(MOD((AZ$7-27),12)=0,IF((AZ$7-27)=12,AZ$12,AZ$13)*(1+AZ$14),1)</f>
        <v/>
      </c>
      <c r="BA57" s="48">
        <f>AZ57*(1+BA$10)*(1-BA$11)*IF(MOD((BA$7-27),12)=0,IF((BA$7-27)=12,BA$12,BA$13)*(1+BA$14),1)</f>
        <v/>
      </c>
      <c r="BB57" s="48">
        <f>BA57*(1+BB$10)*(1-BB$11)*IF(MOD((BB$7-27),12)=0,IF((BB$7-27)=12,BB$12,BB$13)*(1+BB$14),1)</f>
        <v/>
      </c>
      <c r="BC57" s="48">
        <f>BB57*(1+BC$10)*(1-BC$11)*IF(MOD((BC$7-27),12)=0,IF((BC$7-27)=12,BC$12,BC$13)*(1+BC$14),1)</f>
        <v/>
      </c>
      <c r="BD57" s="48">
        <f>BC57*(1+BD$10)*(1-BD$11)*IF(MOD((BD$7-27),12)=0,IF((BD$7-27)=12,BD$12,BD$13)*(1+BD$14),1)</f>
        <v/>
      </c>
      <c r="BE57" s="48">
        <f>BD57*(1+BE$10)*(1-BE$11)*IF(MOD((BE$7-27),12)=0,IF((BE$7-27)=12,BE$12,BE$13)*(1+BE$14),1)</f>
        <v/>
      </c>
      <c r="BF57" s="48">
        <f>BE57*(1+BF$10)*(1-BF$11)*IF(MOD((BF$7-27),12)=0,IF((BF$7-27)=12,BF$12,BF$13)*(1+BF$14),1)</f>
        <v/>
      </c>
      <c r="BG57" s="48">
        <f>BF57*(1+BG$10)*(1-BG$11)*IF(MOD((BG$7-27),12)=0,IF((BG$7-27)=12,BG$12,BG$13)*(1+BG$14),1)</f>
        <v/>
      </c>
      <c r="BH57" s="48">
        <f>BG57*(1+BH$10)*(1-BH$11)*IF(MOD((BH$7-27),12)=0,IF((BH$7-27)=12,BH$12,BH$13)*(1+BH$14),1)</f>
        <v/>
      </c>
      <c r="BI57" s="48">
        <f>BH57*(1+BI$10)*(1-BI$11)*IF(MOD((BI$7-27),12)=0,IF((BI$7-27)=12,BI$12,BI$13)*(1+BI$14),1)</f>
        <v/>
      </c>
      <c r="BJ57" s="48">
        <f>BI57*(1+BJ$10)*(1-BJ$11)*IF(MOD((BJ$7-27),12)=0,IF((BJ$7-27)=12,BJ$12,BJ$13)*(1+BJ$14),1)</f>
        <v/>
      </c>
      <c r="BK57" s="48">
        <f>BJ57*(1+BK$10)*(1-BK$11)*IF(MOD((BK$7-27),12)=0,IF((BK$7-27)=12,BK$12,BK$13)*(1+BK$14),1)</f>
        <v/>
      </c>
    </row>
    <row r="58" hidden="1" outlineLevel="1">
      <c r="B58" s="18" t="inlineStr">
        <is>
          <t xml:space="preserve">    Cohort Apr-28</t>
        </is>
      </c>
      <c r="C58" s="19" t="inlineStr">
        <is>
          <t>$</t>
        </is>
      </c>
      <c r="D58" s="48">
        <f>0</f>
        <v/>
      </c>
      <c r="E58" s="48">
        <f>0</f>
        <v/>
      </c>
      <c r="F58" s="48">
        <f>0</f>
        <v/>
      </c>
      <c r="G58" s="48">
        <f>0</f>
        <v/>
      </c>
      <c r="H58" s="48">
        <f>0</f>
        <v/>
      </c>
      <c r="I58" s="48">
        <f>0</f>
        <v/>
      </c>
      <c r="J58" s="48">
        <f>0</f>
        <v/>
      </c>
      <c r="K58" s="48">
        <f>0</f>
        <v/>
      </c>
      <c r="L58" s="48">
        <f>0</f>
        <v/>
      </c>
      <c r="M58" s="48">
        <f>0</f>
        <v/>
      </c>
      <c r="N58" s="48">
        <f>0</f>
        <v/>
      </c>
      <c r="O58" s="48">
        <f>0</f>
        <v/>
      </c>
      <c r="P58" s="48">
        <f>0</f>
        <v/>
      </c>
      <c r="Q58" s="48">
        <f>0</f>
        <v/>
      </c>
      <c r="R58" s="48">
        <f>0</f>
        <v/>
      </c>
      <c r="S58" s="48">
        <f>0</f>
        <v/>
      </c>
      <c r="T58" s="48">
        <f>0</f>
        <v/>
      </c>
      <c r="U58" s="48">
        <f>0</f>
        <v/>
      </c>
      <c r="V58" s="48">
        <f>0</f>
        <v/>
      </c>
      <c r="W58" s="48">
        <f>0</f>
        <v/>
      </c>
      <c r="X58" s="48">
        <f>0</f>
        <v/>
      </c>
      <c r="Y58" s="48">
        <f>0</f>
        <v/>
      </c>
      <c r="Z58" s="48">
        <f>0</f>
        <v/>
      </c>
      <c r="AA58" s="48">
        <f>0</f>
        <v/>
      </c>
      <c r="AB58" s="48">
        <f>0</f>
        <v/>
      </c>
      <c r="AC58" s="48">
        <f>0</f>
        <v/>
      </c>
      <c r="AD58" s="48">
        <f>0</f>
        <v/>
      </c>
      <c r="AE58" s="48">
        <f>'Rev-Capacity'!AE29</f>
        <v/>
      </c>
      <c r="AF58" s="48">
        <f>AE58*(1+AF$10)*(1-AF$11)*IF(MOD((AF$7-28),12)=0,IF((AF$7-28)=12,AF$12,AF$13)*(1+AF$14),1)</f>
        <v/>
      </c>
      <c r="AG58" s="48">
        <f>AF58*(1+AG$10)*(1-AG$11)*IF(MOD((AG$7-28),12)=0,IF((AG$7-28)=12,AG$12,AG$13)*(1+AG$14),1)</f>
        <v/>
      </c>
      <c r="AH58" s="48">
        <f>AG58*(1+AH$10)*(1-AH$11)*IF(MOD((AH$7-28),12)=0,IF((AH$7-28)=12,AH$12,AH$13)*(1+AH$14),1)</f>
        <v/>
      </c>
      <c r="AI58" s="48">
        <f>AH58*(1+AI$10)*(1-AI$11)*IF(MOD((AI$7-28),12)=0,IF((AI$7-28)=12,AI$12,AI$13)*(1+AI$14),1)</f>
        <v/>
      </c>
      <c r="AJ58" s="48">
        <f>AI58*(1+AJ$10)*(1-AJ$11)*IF(MOD((AJ$7-28),12)=0,IF((AJ$7-28)=12,AJ$12,AJ$13)*(1+AJ$14),1)</f>
        <v/>
      </c>
      <c r="AK58" s="48">
        <f>AJ58*(1+AK$10)*(1-AK$11)*IF(MOD((AK$7-28),12)=0,IF((AK$7-28)=12,AK$12,AK$13)*(1+AK$14),1)</f>
        <v/>
      </c>
      <c r="AL58" s="48">
        <f>AK58*(1+AL$10)*(1-AL$11)*IF(MOD((AL$7-28),12)=0,IF((AL$7-28)=12,AL$12,AL$13)*(1+AL$14),1)</f>
        <v/>
      </c>
      <c r="AM58" s="48">
        <f>AL58*(1+AM$10)*(1-AM$11)*IF(MOD((AM$7-28),12)=0,IF((AM$7-28)=12,AM$12,AM$13)*(1+AM$14),1)</f>
        <v/>
      </c>
      <c r="AN58" s="48">
        <f>AM58*(1+AN$10)*(1-AN$11)*IF(MOD((AN$7-28),12)=0,IF((AN$7-28)=12,AN$12,AN$13)*(1+AN$14),1)</f>
        <v/>
      </c>
      <c r="AO58" s="48">
        <f>AN58*(1+AO$10)*(1-AO$11)*IF(MOD((AO$7-28),12)=0,IF((AO$7-28)=12,AO$12,AO$13)*(1+AO$14),1)</f>
        <v/>
      </c>
      <c r="AP58" s="48">
        <f>AO58*(1+AP$10)*(1-AP$11)*IF(MOD((AP$7-28),12)=0,IF((AP$7-28)=12,AP$12,AP$13)*(1+AP$14),1)</f>
        <v/>
      </c>
      <c r="AQ58" s="48">
        <f>AP58*(1+AQ$10)*(1-AQ$11)*IF(MOD((AQ$7-28),12)=0,IF((AQ$7-28)=12,AQ$12,AQ$13)*(1+AQ$14),1)</f>
        <v/>
      </c>
      <c r="AR58" s="48">
        <f>AQ58*(1+AR$10)*(1-AR$11)*IF(MOD((AR$7-28),12)=0,IF((AR$7-28)=12,AR$12,AR$13)*(1+AR$14),1)</f>
        <v/>
      </c>
      <c r="AS58" s="48">
        <f>AR58*(1+AS$10)*(1-AS$11)*IF(MOD((AS$7-28),12)=0,IF((AS$7-28)=12,AS$12,AS$13)*(1+AS$14),1)</f>
        <v/>
      </c>
      <c r="AT58" s="48">
        <f>AS58*(1+AT$10)*(1-AT$11)*IF(MOD((AT$7-28),12)=0,IF((AT$7-28)=12,AT$12,AT$13)*(1+AT$14),1)</f>
        <v/>
      </c>
      <c r="AU58" s="48">
        <f>AT58*(1+AU$10)*(1-AU$11)*IF(MOD((AU$7-28),12)=0,IF((AU$7-28)=12,AU$12,AU$13)*(1+AU$14),1)</f>
        <v/>
      </c>
      <c r="AV58" s="48">
        <f>AU58*(1+AV$10)*(1-AV$11)*IF(MOD((AV$7-28),12)=0,IF((AV$7-28)=12,AV$12,AV$13)*(1+AV$14),1)</f>
        <v/>
      </c>
      <c r="AW58" s="48">
        <f>AV58*(1+AW$10)*(1-AW$11)*IF(MOD((AW$7-28),12)=0,IF((AW$7-28)=12,AW$12,AW$13)*(1+AW$14),1)</f>
        <v/>
      </c>
      <c r="AX58" s="48">
        <f>AW58*(1+AX$10)*(1-AX$11)*IF(MOD((AX$7-28),12)=0,IF((AX$7-28)=12,AX$12,AX$13)*(1+AX$14),1)</f>
        <v/>
      </c>
      <c r="AY58" s="48">
        <f>AX58*(1+AY$10)*(1-AY$11)*IF(MOD((AY$7-28),12)=0,IF((AY$7-28)=12,AY$12,AY$13)*(1+AY$14),1)</f>
        <v/>
      </c>
      <c r="AZ58" s="48">
        <f>AY58*(1+AZ$10)*(1-AZ$11)*IF(MOD((AZ$7-28),12)=0,IF((AZ$7-28)=12,AZ$12,AZ$13)*(1+AZ$14),1)</f>
        <v/>
      </c>
      <c r="BA58" s="48">
        <f>AZ58*(1+BA$10)*(1-BA$11)*IF(MOD((BA$7-28),12)=0,IF((BA$7-28)=12,BA$12,BA$13)*(1+BA$14),1)</f>
        <v/>
      </c>
      <c r="BB58" s="48">
        <f>BA58*(1+BB$10)*(1-BB$11)*IF(MOD((BB$7-28),12)=0,IF((BB$7-28)=12,BB$12,BB$13)*(1+BB$14),1)</f>
        <v/>
      </c>
      <c r="BC58" s="48">
        <f>BB58*(1+BC$10)*(1-BC$11)*IF(MOD((BC$7-28),12)=0,IF((BC$7-28)=12,BC$12,BC$13)*(1+BC$14),1)</f>
        <v/>
      </c>
      <c r="BD58" s="48">
        <f>BC58*(1+BD$10)*(1-BD$11)*IF(MOD((BD$7-28),12)=0,IF((BD$7-28)=12,BD$12,BD$13)*(1+BD$14),1)</f>
        <v/>
      </c>
      <c r="BE58" s="48">
        <f>BD58*(1+BE$10)*(1-BE$11)*IF(MOD((BE$7-28),12)=0,IF((BE$7-28)=12,BE$12,BE$13)*(1+BE$14),1)</f>
        <v/>
      </c>
      <c r="BF58" s="48">
        <f>BE58*(1+BF$10)*(1-BF$11)*IF(MOD((BF$7-28),12)=0,IF((BF$7-28)=12,BF$12,BF$13)*(1+BF$14),1)</f>
        <v/>
      </c>
      <c r="BG58" s="48">
        <f>BF58*(1+BG$10)*(1-BG$11)*IF(MOD((BG$7-28),12)=0,IF((BG$7-28)=12,BG$12,BG$13)*(1+BG$14),1)</f>
        <v/>
      </c>
      <c r="BH58" s="48">
        <f>BG58*(1+BH$10)*(1-BH$11)*IF(MOD((BH$7-28),12)=0,IF((BH$7-28)=12,BH$12,BH$13)*(1+BH$14),1)</f>
        <v/>
      </c>
      <c r="BI58" s="48">
        <f>BH58*(1+BI$10)*(1-BI$11)*IF(MOD((BI$7-28),12)=0,IF((BI$7-28)=12,BI$12,BI$13)*(1+BI$14),1)</f>
        <v/>
      </c>
      <c r="BJ58" s="48">
        <f>BI58*(1+BJ$10)*(1-BJ$11)*IF(MOD((BJ$7-28),12)=0,IF((BJ$7-28)=12,BJ$12,BJ$13)*(1+BJ$14),1)</f>
        <v/>
      </c>
      <c r="BK58" s="48">
        <f>BJ58*(1+BK$10)*(1-BK$11)*IF(MOD((BK$7-28),12)=0,IF((BK$7-28)=12,BK$12,BK$13)*(1+BK$14),1)</f>
        <v/>
      </c>
    </row>
    <row r="59" hidden="1" outlineLevel="1">
      <c r="B59" s="18" t="inlineStr">
        <is>
          <t xml:space="preserve">    Cohort May-28</t>
        </is>
      </c>
      <c r="C59" s="19" t="inlineStr">
        <is>
          <t>$</t>
        </is>
      </c>
      <c r="D59" s="48">
        <f>0</f>
        <v/>
      </c>
      <c r="E59" s="48">
        <f>0</f>
        <v/>
      </c>
      <c r="F59" s="48">
        <f>0</f>
        <v/>
      </c>
      <c r="G59" s="48">
        <f>0</f>
        <v/>
      </c>
      <c r="H59" s="48">
        <f>0</f>
        <v/>
      </c>
      <c r="I59" s="48">
        <f>0</f>
        <v/>
      </c>
      <c r="J59" s="48">
        <f>0</f>
        <v/>
      </c>
      <c r="K59" s="48">
        <f>0</f>
        <v/>
      </c>
      <c r="L59" s="48">
        <f>0</f>
        <v/>
      </c>
      <c r="M59" s="48">
        <f>0</f>
        <v/>
      </c>
      <c r="N59" s="48">
        <f>0</f>
        <v/>
      </c>
      <c r="O59" s="48">
        <f>0</f>
        <v/>
      </c>
      <c r="P59" s="48">
        <f>0</f>
        <v/>
      </c>
      <c r="Q59" s="48">
        <f>0</f>
        <v/>
      </c>
      <c r="R59" s="48">
        <f>0</f>
        <v/>
      </c>
      <c r="S59" s="48">
        <f>0</f>
        <v/>
      </c>
      <c r="T59" s="48">
        <f>0</f>
        <v/>
      </c>
      <c r="U59" s="48">
        <f>0</f>
        <v/>
      </c>
      <c r="V59" s="48">
        <f>0</f>
        <v/>
      </c>
      <c r="W59" s="48">
        <f>0</f>
        <v/>
      </c>
      <c r="X59" s="48">
        <f>0</f>
        <v/>
      </c>
      <c r="Y59" s="48">
        <f>0</f>
        <v/>
      </c>
      <c r="Z59" s="48">
        <f>0</f>
        <v/>
      </c>
      <c r="AA59" s="48">
        <f>0</f>
        <v/>
      </c>
      <c r="AB59" s="48">
        <f>0</f>
        <v/>
      </c>
      <c r="AC59" s="48">
        <f>0</f>
        <v/>
      </c>
      <c r="AD59" s="48">
        <f>0</f>
        <v/>
      </c>
      <c r="AE59" s="48">
        <f>0</f>
        <v/>
      </c>
      <c r="AF59" s="48">
        <f>'Rev-Capacity'!AF29</f>
        <v/>
      </c>
      <c r="AG59" s="48">
        <f>AF59*(1+AG$10)*(1-AG$11)*IF(MOD((AG$7-29),12)=0,IF((AG$7-29)=12,AG$12,AG$13)*(1+AG$14),1)</f>
        <v/>
      </c>
      <c r="AH59" s="48">
        <f>AG59*(1+AH$10)*(1-AH$11)*IF(MOD((AH$7-29),12)=0,IF((AH$7-29)=12,AH$12,AH$13)*(1+AH$14),1)</f>
        <v/>
      </c>
      <c r="AI59" s="48">
        <f>AH59*(1+AI$10)*(1-AI$11)*IF(MOD((AI$7-29),12)=0,IF((AI$7-29)=12,AI$12,AI$13)*(1+AI$14),1)</f>
        <v/>
      </c>
      <c r="AJ59" s="48">
        <f>AI59*(1+AJ$10)*(1-AJ$11)*IF(MOD((AJ$7-29),12)=0,IF((AJ$7-29)=12,AJ$12,AJ$13)*(1+AJ$14),1)</f>
        <v/>
      </c>
      <c r="AK59" s="48">
        <f>AJ59*(1+AK$10)*(1-AK$11)*IF(MOD((AK$7-29),12)=0,IF((AK$7-29)=12,AK$12,AK$13)*(1+AK$14),1)</f>
        <v/>
      </c>
      <c r="AL59" s="48">
        <f>AK59*(1+AL$10)*(1-AL$11)*IF(MOD((AL$7-29),12)=0,IF((AL$7-29)=12,AL$12,AL$13)*(1+AL$14),1)</f>
        <v/>
      </c>
      <c r="AM59" s="48">
        <f>AL59*(1+AM$10)*(1-AM$11)*IF(MOD((AM$7-29),12)=0,IF((AM$7-29)=12,AM$12,AM$13)*(1+AM$14),1)</f>
        <v/>
      </c>
      <c r="AN59" s="48">
        <f>AM59*(1+AN$10)*(1-AN$11)*IF(MOD((AN$7-29),12)=0,IF((AN$7-29)=12,AN$12,AN$13)*(1+AN$14),1)</f>
        <v/>
      </c>
      <c r="AO59" s="48">
        <f>AN59*(1+AO$10)*(1-AO$11)*IF(MOD((AO$7-29),12)=0,IF((AO$7-29)=12,AO$12,AO$13)*(1+AO$14),1)</f>
        <v/>
      </c>
      <c r="AP59" s="48">
        <f>AO59*(1+AP$10)*(1-AP$11)*IF(MOD((AP$7-29),12)=0,IF((AP$7-29)=12,AP$12,AP$13)*(1+AP$14),1)</f>
        <v/>
      </c>
      <c r="AQ59" s="48">
        <f>AP59*(1+AQ$10)*(1-AQ$11)*IF(MOD((AQ$7-29),12)=0,IF((AQ$7-29)=12,AQ$12,AQ$13)*(1+AQ$14),1)</f>
        <v/>
      </c>
      <c r="AR59" s="48">
        <f>AQ59*(1+AR$10)*(1-AR$11)*IF(MOD((AR$7-29),12)=0,IF((AR$7-29)=12,AR$12,AR$13)*(1+AR$14),1)</f>
        <v/>
      </c>
      <c r="AS59" s="48">
        <f>AR59*(1+AS$10)*(1-AS$11)*IF(MOD((AS$7-29),12)=0,IF((AS$7-29)=12,AS$12,AS$13)*(1+AS$14),1)</f>
        <v/>
      </c>
      <c r="AT59" s="48">
        <f>AS59*(1+AT$10)*(1-AT$11)*IF(MOD((AT$7-29),12)=0,IF((AT$7-29)=12,AT$12,AT$13)*(1+AT$14),1)</f>
        <v/>
      </c>
      <c r="AU59" s="48">
        <f>AT59*(1+AU$10)*(1-AU$11)*IF(MOD((AU$7-29),12)=0,IF((AU$7-29)=12,AU$12,AU$13)*(1+AU$14),1)</f>
        <v/>
      </c>
      <c r="AV59" s="48">
        <f>AU59*(1+AV$10)*(1-AV$11)*IF(MOD((AV$7-29),12)=0,IF((AV$7-29)=12,AV$12,AV$13)*(1+AV$14),1)</f>
        <v/>
      </c>
      <c r="AW59" s="48">
        <f>AV59*(1+AW$10)*(1-AW$11)*IF(MOD((AW$7-29),12)=0,IF((AW$7-29)=12,AW$12,AW$13)*(1+AW$14),1)</f>
        <v/>
      </c>
      <c r="AX59" s="48">
        <f>AW59*(1+AX$10)*(1-AX$11)*IF(MOD((AX$7-29),12)=0,IF((AX$7-29)=12,AX$12,AX$13)*(1+AX$14),1)</f>
        <v/>
      </c>
      <c r="AY59" s="48">
        <f>AX59*(1+AY$10)*(1-AY$11)*IF(MOD((AY$7-29),12)=0,IF((AY$7-29)=12,AY$12,AY$13)*(1+AY$14),1)</f>
        <v/>
      </c>
      <c r="AZ59" s="48">
        <f>AY59*(1+AZ$10)*(1-AZ$11)*IF(MOD((AZ$7-29),12)=0,IF((AZ$7-29)=12,AZ$12,AZ$13)*(1+AZ$14),1)</f>
        <v/>
      </c>
      <c r="BA59" s="48">
        <f>AZ59*(1+BA$10)*(1-BA$11)*IF(MOD((BA$7-29),12)=0,IF((BA$7-29)=12,BA$12,BA$13)*(1+BA$14),1)</f>
        <v/>
      </c>
      <c r="BB59" s="48">
        <f>BA59*(1+BB$10)*(1-BB$11)*IF(MOD((BB$7-29),12)=0,IF((BB$7-29)=12,BB$12,BB$13)*(1+BB$14),1)</f>
        <v/>
      </c>
      <c r="BC59" s="48">
        <f>BB59*(1+BC$10)*(1-BC$11)*IF(MOD((BC$7-29),12)=0,IF((BC$7-29)=12,BC$12,BC$13)*(1+BC$14),1)</f>
        <v/>
      </c>
      <c r="BD59" s="48">
        <f>BC59*(1+BD$10)*(1-BD$11)*IF(MOD((BD$7-29),12)=0,IF((BD$7-29)=12,BD$12,BD$13)*(1+BD$14),1)</f>
        <v/>
      </c>
      <c r="BE59" s="48">
        <f>BD59*(1+BE$10)*(1-BE$11)*IF(MOD((BE$7-29),12)=0,IF((BE$7-29)=12,BE$12,BE$13)*(1+BE$14),1)</f>
        <v/>
      </c>
      <c r="BF59" s="48">
        <f>BE59*(1+BF$10)*(1-BF$11)*IF(MOD((BF$7-29),12)=0,IF((BF$7-29)=12,BF$12,BF$13)*(1+BF$14),1)</f>
        <v/>
      </c>
      <c r="BG59" s="48">
        <f>BF59*(1+BG$10)*(1-BG$11)*IF(MOD((BG$7-29),12)=0,IF((BG$7-29)=12,BG$12,BG$13)*(1+BG$14),1)</f>
        <v/>
      </c>
      <c r="BH59" s="48">
        <f>BG59*(1+BH$10)*(1-BH$11)*IF(MOD((BH$7-29),12)=0,IF((BH$7-29)=12,BH$12,BH$13)*(1+BH$14),1)</f>
        <v/>
      </c>
      <c r="BI59" s="48">
        <f>BH59*(1+BI$10)*(1-BI$11)*IF(MOD((BI$7-29),12)=0,IF((BI$7-29)=12,BI$12,BI$13)*(1+BI$14),1)</f>
        <v/>
      </c>
      <c r="BJ59" s="48">
        <f>BI59*(1+BJ$10)*(1-BJ$11)*IF(MOD((BJ$7-29),12)=0,IF((BJ$7-29)=12,BJ$12,BJ$13)*(1+BJ$14),1)</f>
        <v/>
      </c>
      <c r="BK59" s="48">
        <f>BJ59*(1+BK$10)*(1-BK$11)*IF(MOD((BK$7-29),12)=0,IF((BK$7-29)=12,BK$12,BK$13)*(1+BK$14),1)</f>
        <v/>
      </c>
    </row>
    <row r="60" hidden="1" outlineLevel="1">
      <c r="B60" s="18" t="inlineStr">
        <is>
          <t xml:space="preserve">    Cohort Jun-28</t>
        </is>
      </c>
      <c r="C60" s="19" t="inlineStr">
        <is>
          <t>$</t>
        </is>
      </c>
      <c r="D60" s="48">
        <f>0</f>
        <v/>
      </c>
      <c r="E60" s="48">
        <f>0</f>
        <v/>
      </c>
      <c r="F60" s="48">
        <f>0</f>
        <v/>
      </c>
      <c r="G60" s="48">
        <f>0</f>
        <v/>
      </c>
      <c r="H60" s="48">
        <f>0</f>
        <v/>
      </c>
      <c r="I60" s="48">
        <f>0</f>
        <v/>
      </c>
      <c r="J60" s="48">
        <f>0</f>
        <v/>
      </c>
      <c r="K60" s="48">
        <f>0</f>
        <v/>
      </c>
      <c r="L60" s="48">
        <f>0</f>
        <v/>
      </c>
      <c r="M60" s="48">
        <f>0</f>
        <v/>
      </c>
      <c r="N60" s="48">
        <f>0</f>
        <v/>
      </c>
      <c r="O60" s="48">
        <f>0</f>
        <v/>
      </c>
      <c r="P60" s="48">
        <f>0</f>
        <v/>
      </c>
      <c r="Q60" s="48">
        <f>0</f>
        <v/>
      </c>
      <c r="R60" s="48">
        <f>0</f>
        <v/>
      </c>
      <c r="S60" s="48">
        <f>0</f>
        <v/>
      </c>
      <c r="T60" s="48">
        <f>0</f>
        <v/>
      </c>
      <c r="U60" s="48">
        <f>0</f>
        <v/>
      </c>
      <c r="V60" s="48">
        <f>0</f>
        <v/>
      </c>
      <c r="W60" s="48">
        <f>0</f>
        <v/>
      </c>
      <c r="X60" s="48">
        <f>0</f>
        <v/>
      </c>
      <c r="Y60" s="48">
        <f>0</f>
        <v/>
      </c>
      <c r="Z60" s="48">
        <f>0</f>
        <v/>
      </c>
      <c r="AA60" s="48">
        <f>0</f>
        <v/>
      </c>
      <c r="AB60" s="48">
        <f>0</f>
        <v/>
      </c>
      <c r="AC60" s="48">
        <f>0</f>
        <v/>
      </c>
      <c r="AD60" s="48">
        <f>0</f>
        <v/>
      </c>
      <c r="AE60" s="48">
        <f>0</f>
        <v/>
      </c>
      <c r="AF60" s="48">
        <f>0</f>
        <v/>
      </c>
      <c r="AG60" s="48">
        <f>'Rev-Capacity'!AG29</f>
        <v/>
      </c>
      <c r="AH60" s="48">
        <f>AG60*(1+AH$10)*(1-AH$11)*IF(MOD((AH$7-30),12)=0,IF((AH$7-30)=12,AH$12,AH$13)*(1+AH$14),1)</f>
        <v/>
      </c>
      <c r="AI60" s="48">
        <f>AH60*(1+AI$10)*(1-AI$11)*IF(MOD((AI$7-30),12)=0,IF((AI$7-30)=12,AI$12,AI$13)*(1+AI$14),1)</f>
        <v/>
      </c>
      <c r="AJ60" s="48">
        <f>AI60*(1+AJ$10)*(1-AJ$11)*IF(MOD((AJ$7-30),12)=0,IF((AJ$7-30)=12,AJ$12,AJ$13)*(1+AJ$14),1)</f>
        <v/>
      </c>
      <c r="AK60" s="48">
        <f>AJ60*(1+AK$10)*(1-AK$11)*IF(MOD((AK$7-30),12)=0,IF((AK$7-30)=12,AK$12,AK$13)*(1+AK$14),1)</f>
        <v/>
      </c>
      <c r="AL60" s="48">
        <f>AK60*(1+AL$10)*(1-AL$11)*IF(MOD((AL$7-30),12)=0,IF((AL$7-30)=12,AL$12,AL$13)*(1+AL$14),1)</f>
        <v/>
      </c>
      <c r="AM60" s="48">
        <f>AL60*(1+AM$10)*(1-AM$11)*IF(MOD((AM$7-30),12)=0,IF((AM$7-30)=12,AM$12,AM$13)*(1+AM$14),1)</f>
        <v/>
      </c>
      <c r="AN60" s="48">
        <f>AM60*(1+AN$10)*(1-AN$11)*IF(MOD((AN$7-30),12)=0,IF((AN$7-30)=12,AN$12,AN$13)*(1+AN$14),1)</f>
        <v/>
      </c>
      <c r="AO60" s="48">
        <f>AN60*(1+AO$10)*(1-AO$11)*IF(MOD((AO$7-30),12)=0,IF((AO$7-30)=12,AO$12,AO$13)*(1+AO$14),1)</f>
        <v/>
      </c>
      <c r="AP60" s="48">
        <f>AO60*(1+AP$10)*(1-AP$11)*IF(MOD((AP$7-30),12)=0,IF((AP$7-30)=12,AP$12,AP$13)*(1+AP$14),1)</f>
        <v/>
      </c>
      <c r="AQ60" s="48">
        <f>AP60*(1+AQ$10)*(1-AQ$11)*IF(MOD((AQ$7-30),12)=0,IF((AQ$7-30)=12,AQ$12,AQ$13)*(1+AQ$14),1)</f>
        <v/>
      </c>
      <c r="AR60" s="48">
        <f>AQ60*(1+AR$10)*(1-AR$11)*IF(MOD((AR$7-30),12)=0,IF((AR$7-30)=12,AR$12,AR$13)*(1+AR$14),1)</f>
        <v/>
      </c>
      <c r="AS60" s="48">
        <f>AR60*(1+AS$10)*(1-AS$11)*IF(MOD((AS$7-30),12)=0,IF((AS$7-30)=12,AS$12,AS$13)*(1+AS$14),1)</f>
        <v/>
      </c>
      <c r="AT60" s="48">
        <f>AS60*(1+AT$10)*(1-AT$11)*IF(MOD((AT$7-30),12)=0,IF((AT$7-30)=12,AT$12,AT$13)*(1+AT$14),1)</f>
        <v/>
      </c>
      <c r="AU60" s="48">
        <f>AT60*(1+AU$10)*(1-AU$11)*IF(MOD((AU$7-30),12)=0,IF((AU$7-30)=12,AU$12,AU$13)*(1+AU$14),1)</f>
        <v/>
      </c>
      <c r="AV60" s="48">
        <f>AU60*(1+AV$10)*(1-AV$11)*IF(MOD((AV$7-30),12)=0,IF((AV$7-30)=12,AV$12,AV$13)*(1+AV$14),1)</f>
        <v/>
      </c>
      <c r="AW60" s="48">
        <f>AV60*(1+AW$10)*(1-AW$11)*IF(MOD((AW$7-30),12)=0,IF((AW$7-30)=12,AW$12,AW$13)*(1+AW$14),1)</f>
        <v/>
      </c>
      <c r="AX60" s="48">
        <f>AW60*(1+AX$10)*(1-AX$11)*IF(MOD((AX$7-30),12)=0,IF((AX$7-30)=12,AX$12,AX$13)*(1+AX$14),1)</f>
        <v/>
      </c>
      <c r="AY60" s="48">
        <f>AX60*(1+AY$10)*(1-AY$11)*IF(MOD((AY$7-30),12)=0,IF((AY$7-30)=12,AY$12,AY$13)*(1+AY$14),1)</f>
        <v/>
      </c>
      <c r="AZ60" s="48">
        <f>AY60*(1+AZ$10)*(1-AZ$11)*IF(MOD((AZ$7-30),12)=0,IF((AZ$7-30)=12,AZ$12,AZ$13)*(1+AZ$14),1)</f>
        <v/>
      </c>
      <c r="BA60" s="48">
        <f>AZ60*(1+BA$10)*(1-BA$11)*IF(MOD((BA$7-30),12)=0,IF((BA$7-30)=12,BA$12,BA$13)*(1+BA$14),1)</f>
        <v/>
      </c>
      <c r="BB60" s="48">
        <f>BA60*(1+BB$10)*(1-BB$11)*IF(MOD((BB$7-30),12)=0,IF((BB$7-30)=12,BB$12,BB$13)*(1+BB$14),1)</f>
        <v/>
      </c>
      <c r="BC60" s="48">
        <f>BB60*(1+BC$10)*(1-BC$11)*IF(MOD((BC$7-30),12)=0,IF((BC$7-30)=12,BC$12,BC$13)*(1+BC$14),1)</f>
        <v/>
      </c>
      <c r="BD60" s="48">
        <f>BC60*(1+BD$10)*(1-BD$11)*IF(MOD((BD$7-30),12)=0,IF((BD$7-30)=12,BD$12,BD$13)*(1+BD$14),1)</f>
        <v/>
      </c>
      <c r="BE60" s="48">
        <f>BD60*(1+BE$10)*(1-BE$11)*IF(MOD((BE$7-30),12)=0,IF((BE$7-30)=12,BE$12,BE$13)*(1+BE$14),1)</f>
        <v/>
      </c>
      <c r="BF60" s="48">
        <f>BE60*(1+BF$10)*(1-BF$11)*IF(MOD((BF$7-30),12)=0,IF((BF$7-30)=12,BF$12,BF$13)*(1+BF$14),1)</f>
        <v/>
      </c>
      <c r="BG60" s="48">
        <f>BF60*(1+BG$10)*(1-BG$11)*IF(MOD((BG$7-30),12)=0,IF((BG$7-30)=12,BG$12,BG$13)*(1+BG$14),1)</f>
        <v/>
      </c>
      <c r="BH60" s="48">
        <f>BG60*(1+BH$10)*(1-BH$11)*IF(MOD((BH$7-30),12)=0,IF((BH$7-30)=12,BH$12,BH$13)*(1+BH$14),1)</f>
        <v/>
      </c>
      <c r="BI60" s="48">
        <f>BH60*(1+BI$10)*(1-BI$11)*IF(MOD((BI$7-30),12)=0,IF((BI$7-30)=12,BI$12,BI$13)*(1+BI$14),1)</f>
        <v/>
      </c>
      <c r="BJ60" s="48">
        <f>BI60*(1+BJ$10)*(1-BJ$11)*IF(MOD((BJ$7-30),12)=0,IF((BJ$7-30)=12,BJ$12,BJ$13)*(1+BJ$14),1)</f>
        <v/>
      </c>
      <c r="BK60" s="48">
        <f>BJ60*(1+BK$10)*(1-BK$11)*IF(MOD((BK$7-30),12)=0,IF((BK$7-30)=12,BK$12,BK$13)*(1+BK$14),1)</f>
        <v/>
      </c>
    </row>
    <row r="61" hidden="1" outlineLevel="1">
      <c r="B61" s="18" t="inlineStr">
        <is>
          <t xml:space="preserve">    Cohort Jul-28</t>
        </is>
      </c>
      <c r="C61" s="19" t="inlineStr">
        <is>
          <t>$</t>
        </is>
      </c>
      <c r="D61" s="48">
        <f>0</f>
        <v/>
      </c>
      <c r="E61" s="48">
        <f>0</f>
        <v/>
      </c>
      <c r="F61" s="48">
        <f>0</f>
        <v/>
      </c>
      <c r="G61" s="48">
        <f>0</f>
        <v/>
      </c>
      <c r="H61" s="48">
        <f>0</f>
        <v/>
      </c>
      <c r="I61" s="48">
        <f>0</f>
        <v/>
      </c>
      <c r="J61" s="48">
        <f>0</f>
        <v/>
      </c>
      <c r="K61" s="48">
        <f>0</f>
        <v/>
      </c>
      <c r="L61" s="48">
        <f>0</f>
        <v/>
      </c>
      <c r="M61" s="48">
        <f>0</f>
        <v/>
      </c>
      <c r="N61" s="48">
        <f>0</f>
        <v/>
      </c>
      <c r="O61" s="48">
        <f>0</f>
        <v/>
      </c>
      <c r="P61" s="48">
        <f>0</f>
        <v/>
      </c>
      <c r="Q61" s="48">
        <f>0</f>
        <v/>
      </c>
      <c r="R61" s="48">
        <f>0</f>
        <v/>
      </c>
      <c r="S61" s="48">
        <f>0</f>
        <v/>
      </c>
      <c r="T61" s="48">
        <f>0</f>
        <v/>
      </c>
      <c r="U61" s="48">
        <f>0</f>
        <v/>
      </c>
      <c r="V61" s="48">
        <f>0</f>
        <v/>
      </c>
      <c r="W61" s="48">
        <f>0</f>
        <v/>
      </c>
      <c r="X61" s="48">
        <f>0</f>
        <v/>
      </c>
      <c r="Y61" s="48">
        <f>0</f>
        <v/>
      </c>
      <c r="Z61" s="48">
        <f>0</f>
        <v/>
      </c>
      <c r="AA61" s="48">
        <f>0</f>
        <v/>
      </c>
      <c r="AB61" s="48">
        <f>0</f>
        <v/>
      </c>
      <c r="AC61" s="48">
        <f>0</f>
        <v/>
      </c>
      <c r="AD61" s="48">
        <f>0</f>
        <v/>
      </c>
      <c r="AE61" s="48">
        <f>0</f>
        <v/>
      </c>
      <c r="AF61" s="48">
        <f>0</f>
        <v/>
      </c>
      <c r="AG61" s="48">
        <f>0</f>
        <v/>
      </c>
      <c r="AH61" s="48">
        <f>'Rev-Capacity'!AH29</f>
        <v/>
      </c>
      <c r="AI61" s="48">
        <f>AH61*(1+AI$10)*(1-AI$11)*IF(MOD((AI$7-31),12)=0,IF((AI$7-31)=12,AI$12,AI$13)*(1+AI$14),1)</f>
        <v/>
      </c>
      <c r="AJ61" s="48">
        <f>AI61*(1+AJ$10)*(1-AJ$11)*IF(MOD((AJ$7-31),12)=0,IF((AJ$7-31)=12,AJ$12,AJ$13)*(1+AJ$14),1)</f>
        <v/>
      </c>
      <c r="AK61" s="48">
        <f>AJ61*(1+AK$10)*(1-AK$11)*IF(MOD((AK$7-31),12)=0,IF((AK$7-31)=12,AK$12,AK$13)*(1+AK$14),1)</f>
        <v/>
      </c>
      <c r="AL61" s="48">
        <f>AK61*(1+AL$10)*(1-AL$11)*IF(MOD((AL$7-31),12)=0,IF((AL$7-31)=12,AL$12,AL$13)*(1+AL$14),1)</f>
        <v/>
      </c>
      <c r="AM61" s="48">
        <f>AL61*(1+AM$10)*(1-AM$11)*IF(MOD((AM$7-31),12)=0,IF((AM$7-31)=12,AM$12,AM$13)*(1+AM$14),1)</f>
        <v/>
      </c>
      <c r="AN61" s="48">
        <f>AM61*(1+AN$10)*(1-AN$11)*IF(MOD((AN$7-31),12)=0,IF((AN$7-31)=12,AN$12,AN$13)*(1+AN$14),1)</f>
        <v/>
      </c>
      <c r="AO61" s="48">
        <f>AN61*(1+AO$10)*(1-AO$11)*IF(MOD((AO$7-31),12)=0,IF((AO$7-31)=12,AO$12,AO$13)*(1+AO$14),1)</f>
        <v/>
      </c>
      <c r="AP61" s="48">
        <f>AO61*(1+AP$10)*(1-AP$11)*IF(MOD((AP$7-31),12)=0,IF((AP$7-31)=12,AP$12,AP$13)*(1+AP$14),1)</f>
        <v/>
      </c>
      <c r="AQ61" s="48">
        <f>AP61*(1+AQ$10)*(1-AQ$11)*IF(MOD((AQ$7-31),12)=0,IF((AQ$7-31)=12,AQ$12,AQ$13)*(1+AQ$14),1)</f>
        <v/>
      </c>
      <c r="AR61" s="48">
        <f>AQ61*(1+AR$10)*(1-AR$11)*IF(MOD((AR$7-31),12)=0,IF((AR$7-31)=12,AR$12,AR$13)*(1+AR$14),1)</f>
        <v/>
      </c>
      <c r="AS61" s="48">
        <f>AR61*(1+AS$10)*(1-AS$11)*IF(MOD((AS$7-31),12)=0,IF((AS$7-31)=12,AS$12,AS$13)*(1+AS$14),1)</f>
        <v/>
      </c>
      <c r="AT61" s="48">
        <f>AS61*(1+AT$10)*(1-AT$11)*IF(MOD((AT$7-31),12)=0,IF((AT$7-31)=12,AT$12,AT$13)*(1+AT$14),1)</f>
        <v/>
      </c>
      <c r="AU61" s="48">
        <f>AT61*(1+AU$10)*(1-AU$11)*IF(MOD((AU$7-31),12)=0,IF((AU$7-31)=12,AU$12,AU$13)*(1+AU$14),1)</f>
        <v/>
      </c>
      <c r="AV61" s="48">
        <f>AU61*(1+AV$10)*(1-AV$11)*IF(MOD((AV$7-31),12)=0,IF((AV$7-31)=12,AV$12,AV$13)*(1+AV$14),1)</f>
        <v/>
      </c>
      <c r="AW61" s="48">
        <f>AV61*(1+AW$10)*(1-AW$11)*IF(MOD((AW$7-31),12)=0,IF((AW$7-31)=12,AW$12,AW$13)*(1+AW$14),1)</f>
        <v/>
      </c>
      <c r="AX61" s="48">
        <f>AW61*(1+AX$10)*(1-AX$11)*IF(MOD((AX$7-31),12)=0,IF((AX$7-31)=12,AX$12,AX$13)*(1+AX$14),1)</f>
        <v/>
      </c>
      <c r="AY61" s="48">
        <f>AX61*(1+AY$10)*(1-AY$11)*IF(MOD((AY$7-31),12)=0,IF((AY$7-31)=12,AY$12,AY$13)*(1+AY$14),1)</f>
        <v/>
      </c>
      <c r="AZ61" s="48">
        <f>AY61*(1+AZ$10)*(1-AZ$11)*IF(MOD((AZ$7-31),12)=0,IF((AZ$7-31)=12,AZ$12,AZ$13)*(1+AZ$14),1)</f>
        <v/>
      </c>
      <c r="BA61" s="48">
        <f>AZ61*(1+BA$10)*(1-BA$11)*IF(MOD((BA$7-31),12)=0,IF((BA$7-31)=12,BA$12,BA$13)*(1+BA$14),1)</f>
        <v/>
      </c>
      <c r="BB61" s="48">
        <f>BA61*(1+BB$10)*(1-BB$11)*IF(MOD((BB$7-31),12)=0,IF((BB$7-31)=12,BB$12,BB$13)*(1+BB$14),1)</f>
        <v/>
      </c>
      <c r="BC61" s="48">
        <f>BB61*(1+BC$10)*(1-BC$11)*IF(MOD((BC$7-31),12)=0,IF((BC$7-31)=12,BC$12,BC$13)*(1+BC$14),1)</f>
        <v/>
      </c>
      <c r="BD61" s="48">
        <f>BC61*(1+BD$10)*(1-BD$11)*IF(MOD((BD$7-31),12)=0,IF((BD$7-31)=12,BD$12,BD$13)*(1+BD$14),1)</f>
        <v/>
      </c>
      <c r="BE61" s="48">
        <f>BD61*(1+BE$10)*(1-BE$11)*IF(MOD((BE$7-31),12)=0,IF((BE$7-31)=12,BE$12,BE$13)*(1+BE$14),1)</f>
        <v/>
      </c>
      <c r="BF61" s="48">
        <f>BE61*(1+BF$10)*(1-BF$11)*IF(MOD((BF$7-31),12)=0,IF((BF$7-31)=12,BF$12,BF$13)*(1+BF$14),1)</f>
        <v/>
      </c>
      <c r="BG61" s="48">
        <f>BF61*(1+BG$10)*(1-BG$11)*IF(MOD((BG$7-31),12)=0,IF((BG$7-31)=12,BG$12,BG$13)*(1+BG$14),1)</f>
        <v/>
      </c>
      <c r="BH61" s="48">
        <f>BG61*(1+BH$10)*(1-BH$11)*IF(MOD((BH$7-31),12)=0,IF((BH$7-31)=12,BH$12,BH$13)*(1+BH$14),1)</f>
        <v/>
      </c>
      <c r="BI61" s="48">
        <f>BH61*(1+BI$10)*(1-BI$11)*IF(MOD((BI$7-31),12)=0,IF((BI$7-31)=12,BI$12,BI$13)*(1+BI$14),1)</f>
        <v/>
      </c>
      <c r="BJ61" s="48">
        <f>BI61*(1+BJ$10)*(1-BJ$11)*IF(MOD((BJ$7-31),12)=0,IF((BJ$7-31)=12,BJ$12,BJ$13)*(1+BJ$14),1)</f>
        <v/>
      </c>
      <c r="BK61" s="48">
        <f>BJ61*(1+BK$10)*(1-BK$11)*IF(MOD((BK$7-31),12)=0,IF((BK$7-31)=12,BK$12,BK$13)*(1+BK$14),1)</f>
        <v/>
      </c>
    </row>
    <row r="62" hidden="1" outlineLevel="1">
      <c r="B62" s="18" t="inlineStr">
        <is>
          <t xml:space="preserve">    Cohort Aug-28</t>
        </is>
      </c>
      <c r="C62" s="19" t="inlineStr">
        <is>
          <t>$</t>
        </is>
      </c>
      <c r="D62" s="48">
        <f>0</f>
        <v/>
      </c>
      <c r="E62" s="48">
        <f>0</f>
        <v/>
      </c>
      <c r="F62" s="48">
        <f>0</f>
        <v/>
      </c>
      <c r="G62" s="48">
        <f>0</f>
        <v/>
      </c>
      <c r="H62" s="48">
        <f>0</f>
        <v/>
      </c>
      <c r="I62" s="48">
        <f>0</f>
        <v/>
      </c>
      <c r="J62" s="48">
        <f>0</f>
        <v/>
      </c>
      <c r="K62" s="48">
        <f>0</f>
        <v/>
      </c>
      <c r="L62" s="48">
        <f>0</f>
        <v/>
      </c>
      <c r="M62" s="48">
        <f>0</f>
        <v/>
      </c>
      <c r="N62" s="48">
        <f>0</f>
        <v/>
      </c>
      <c r="O62" s="48">
        <f>0</f>
        <v/>
      </c>
      <c r="P62" s="48">
        <f>0</f>
        <v/>
      </c>
      <c r="Q62" s="48">
        <f>0</f>
        <v/>
      </c>
      <c r="R62" s="48">
        <f>0</f>
        <v/>
      </c>
      <c r="S62" s="48">
        <f>0</f>
        <v/>
      </c>
      <c r="T62" s="48">
        <f>0</f>
        <v/>
      </c>
      <c r="U62" s="48">
        <f>0</f>
        <v/>
      </c>
      <c r="V62" s="48">
        <f>0</f>
        <v/>
      </c>
      <c r="W62" s="48">
        <f>0</f>
        <v/>
      </c>
      <c r="X62" s="48">
        <f>0</f>
        <v/>
      </c>
      <c r="Y62" s="48">
        <f>0</f>
        <v/>
      </c>
      <c r="Z62" s="48">
        <f>0</f>
        <v/>
      </c>
      <c r="AA62" s="48">
        <f>0</f>
        <v/>
      </c>
      <c r="AB62" s="48">
        <f>0</f>
        <v/>
      </c>
      <c r="AC62" s="48">
        <f>0</f>
        <v/>
      </c>
      <c r="AD62" s="48">
        <f>0</f>
        <v/>
      </c>
      <c r="AE62" s="48">
        <f>0</f>
        <v/>
      </c>
      <c r="AF62" s="48">
        <f>0</f>
        <v/>
      </c>
      <c r="AG62" s="48">
        <f>0</f>
        <v/>
      </c>
      <c r="AH62" s="48">
        <f>0</f>
        <v/>
      </c>
      <c r="AI62" s="48">
        <f>'Rev-Capacity'!AI29</f>
        <v/>
      </c>
      <c r="AJ62" s="48">
        <f>AI62*(1+AJ$10)*(1-AJ$11)*IF(MOD((AJ$7-32),12)=0,IF((AJ$7-32)=12,AJ$12,AJ$13)*(1+AJ$14),1)</f>
        <v/>
      </c>
      <c r="AK62" s="48">
        <f>AJ62*(1+AK$10)*(1-AK$11)*IF(MOD((AK$7-32),12)=0,IF((AK$7-32)=12,AK$12,AK$13)*(1+AK$14),1)</f>
        <v/>
      </c>
      <c r="AL62" s="48">
        <f>AK62*(1+AL$10)*(1-AL$11)*IF(MOD((AL$7-32),12)=0,IF((AL$7-32)=12,AL$12,AL$13)*(1+AL$14),1)</f>
        <v/>
      </c>
      <c r="AM62" s="48">
        <f>AL62*(1+AM$10)*(1-AM$11)*IF(MOD((AM$7-32),12)=0,IF((AM$7-32)=12,AM$12,AM$13)*(1+AM$14),1)</f>
        <v/>
      </c>
      <c r="AN62" s="48">
        <f>AM62*(1+AN$10)*(1-AN$11)*IF(MOD((AN$7-32),12)=0,IF((AN$7-32)=12,AN$12,AN$13)*(1+AN$14),1)</f>
        <v/>
      </c>
      <c r="AO62" s="48">
        <f>AN62*(1+AO$10)*(1-AO$11)*IF(MOD((AO$7-32),12)=0,IF((AO$7-32)=12,AO$12,AO$13)*(1+AO$14),1)</f>
        <v/>
      </c>
      <c r="AP62" s="48">
        <f>AO62*(1+AP$10)*(1-AP$11)*IF(MOD((AP$7-32),12)=0,IF((AP$7-32)=12,AP$12,AP$13)*(1+AP$14),1)</f>
        <v/>
      </c>
      <c r="AQ62" s="48">
        <f>AP62*(1+AQ$10)*(1-AQ$11)*IF(MOD((AQ$7-32),12)=0,IF((AQ$7-32)=12,AQ$12,AQ$13)*(1+AQ$14),1)</f>
        <v/>
      </c>
      <c r="AR62" s="48">
        <f>AQ62*(1+AR$10)*(1-AR$11)*IF(MOD((AR$7-32),12)=0,IF((AR$7-32)=12,AR$12,AR$13)*(1+AR$14),1)</f>
        <v/>
      </c>
      <c r="AS62" s="48">
        <f>AR62*(1+AS$10)*(1-AS$11)*IF(MOD((AS$7-32),12)=0,IF((AS$7-32)=12,AS$12,AS$13)*(1+AS$14),1)</f>
        <v/>
      </c>
      <c r="AT62" s="48">
        <f>AS62*(1+AT$10)*(1-AT$11)*IF(MOD((AT$7-32),12)=0,IF((AT$7-32)=12,AT$12,AT$13)*(1+AT$14),1)</f>
        <v/>
      </c>
      <c r="AU62" s="48">
        <f>AT62*(1+AU$10)*(1-AU$11)*IF(MOD((AU$7-32),12)=0,IF((AU$7-32)=12,AU$12,AU$13)*(1+AU$14),1)</f>
        <v/>
      </c>
      <c r="AV62" s="48">
        <f>AU62*(1+AV$10)*(1-AV$11)*IF(MOD((AV$7-32),12)=0,IF((AV$7-32)=12,AV$12,AV$13)*(1+AV$14),1)</f>
        <v/>
      </c>
      <c r="AW62" s="48">
        <f>AV62*(1+AW$10)*(1-AW$11)*IF(MOD((AW$7-32),12)=0,IF((AW$7-32)=12,AW$12,AW$13)*(1+AW$14),1)</f>
        <v/>
      </c>
      <c r="AX62" s="48">
        <f>AW62*(1+AX$10)*(1-AX$11)*IF(MOD((AX$7-32),12)=0,IF((AX$7-32)=12,AX$12,AX$13)*(1+AX$14),1)</f>
        <v/>
      </c>
      <c r="AY62" s="48">
        <f>AX62*(1+AY$10)*(1-AY$11)*IF(MOD((AY$7-32),12)=0,IF((AY$7-32)=12,AY$12,AY$13)*(1+AY$14),1)</f>
        <v/>
      </c>
      <c r="AZ62" s="48">
        <f>AY62*(1+AZ$10)*(1-AZ$11)*IF(MOD((AZ$7-32),12)=0,IF((AZ$7-32)=12,AZ$12,AZ$13)*(1+AZ$14),1)</f>
        <v/>
      </c>
      <c r="BA62" s="48">
        <f>AZ62*(1+BA$10)*(1-BA$11)*IF(MOD((BA$7-32),12)=0,IF((BA$7-32)=12,BA$12,BA$13)*(1+BA$14),1)</f>
        <v/>
      </c>
      <c r="BB62" s="48">
        <f>BA62*(1+BB$10)*(1-BB$11)*IF(MOD((BB$7-32),12)=0,IF((BB$7-32)=12,BB$12,BB$13)*(1+BB$14),1)</f>
        <v/>
      </c>
      <c r="BC62" s="48">
        <f>BB62*(1+BC$10)*(1-BC$11)*IF(MOD((BC$7-32),12)=0,IF((BC$7-32)=12,BC$12,BC$13)*(1+BC$14),1)</f>
        <v/>
      </c>
      <c r="BD62" s="48">
        <f>BC62*(1+BD$10)*(1-BD$11)*IF(MOD((BD$7-32),12)=0,IF((BD$7-32)=12,BD$12,BD$13)*(1+BD$14),1)</f>
        <v/>
      </c>
      <c r="BE62" s="48">
        <f>BD62*(1+BE$10)*(1-BE$11)*IF(MOD((BE$7-32),12)=0,IF((BE$7-32)=12,BE$12,BE$13)*(1+BE$14),1)</f>
        <v/>
      </c>
      <c r="BF62" s="48">
        <f>BE62*(1+BF$10)*(1-BF$11)*IF(MOD((BF$7-32),12)=0,IF((BF$7-32)=12,BF$12,BF$13)*(1+BF$14),1)</f>
        <v/>
      </c>
      <c r="BG62" s="48">
        <f>BF62*(1+BG$10)*(1-BG$11)*IF(MOD((BG$7-32),12)=0,IF((BG$7-32)=12,BG$12,BG$13)*(1+BG$14),1)</f>
        <v/>
      </c>
      <c r="BH62" s="48">
        <f>BG62*(1+BH$10)*(1-BH$11)*IF(MOD((BH$7-32),12)=0,IF((BH$7-32)=12,BH$12,BH$13)*(1+BH$14),1)</f>
        <v/>
      </c>
      <c r="BI62" s="48">
        <f>BH62*(1+BI$10)*(1-BI$11)*IF(MOD((BI$7-32),12)=0,IF((BI$7-32)=12,BI$12,BI$13)*(1+BI$14),1)</f>
        <v/>
      </c>
      <c r="BJ62" s="48">
        <f>BI62*(1+BJ$10)*(1-BJ$11)*IF(MOD((BJ$7-32),12)=0,IF((BJ$7-32)=12,BJ$12,BJ$13)*(1+BJ$14),1)</f>
        <v/>
      </c>
      <c r="BK62" s="48">
        <f>BJ62*(1+BK$10)*(1-BK$11)*IF(MOD((BK$7-32),12)=0,IF((BK$7-32)=12,BK$12,BK$13)*(1+BK$14),1)</f>
        <v/>
      </c>
    </row>
    <row r="63" hidden="1" outlineLevel="1">
      <c r="B63" s="18" t="inlineStr">
        <is>
          <t xml:space="preserve">    Cohort Sep-28</t>
        </is>
      </c>
      <c r="C63" s="19" t="inlineStr">
        <is>
          <t>$</t>
        </is>
      </c>
      <c r="D63" s="48">
        <f>0</f>
        <v/>
      </c>
      <c r="E63" s="48">
        <f>0</f>
        <v/>
      </c>
      <c r="F63" s="48">
        <f>0</f>
        <v/>
      </c>
      <c r="G63" s="48">
        <f>0</f>
        <v/>
      </c>
      <c r="H63" s="48">
        <f>0</f>
        <v/>
      </c>
      <c r="I63" s="48">
        <f>0</f>
        <v/>
      </c>
      <c r="J63" s="48">
        <f>0</f>
        <v/>
      </c>
      <c r="K63" s="48">
        <f>0</f>
        <v/>
      </c>
      <c r="L63" s="48">
        <f>0</f>
        <v/>
      </c>
      <c r="M63" s="48">
        <f>0</f>
        <v/>
      </c>
      <c r="N63" s="48">
        <f>0</f>
        <v/>
      </c>
      <c r="O63" s="48">
        <f>0</f>
        <v/>
      </c>
      <c r="P63" s="48">
        <f>0</f>
        <v/>
      </c>
      <c r="Q63" s="48">
        <f>0</f>
        <v/>
      </c>
      <c r="R63" s="48">
        <f>0</f>
        <v/>
      </c>
      <c r="S63" s="48">
        <f>0</f>
        <v/>
      </c>
      <c r="T63" s="48">
        <f>0</f>
        <v/>
      </c>
      <c r="U63" s="48">
        <f>0</f>
        <v/>
      </c>
      <c r="V63" s="48">
        <f>0</f>
        <v/>
      </c>
      <c r="W63" s="48">
        <f>0</f>
        <v/>
      </c>
      <c r="X63" s="48">
        <f>0</f>
        <v/>
      </c>
      <c r="Y63" s="48">
        <f>0</f>
        <v/>
      </c>
      <c r="Z63" s="48">
        <f>0</f>
        <v/>
      </c>
      <c r="AA63" s="48">
        <f>0</f>
        <v/>
      </c>
      <c r="AB63" s="48">
        <f>0</f>
        <v/>
      </c>
      <c r="AC63" s="48">
        <f>0</f>
        <v/>
      </c>
      <c r="AD63" s="48">
        <f>0</f>
        <v/>
      </c>
      <c r="AE63" s="48">
        <f>0</f>
        <v/>
      </c>
      <c r="AF63" s="48">
        <f>0</f>
        <v/>
      </c>
      <c r="AG63" s="48">
        <f>0</f>
        <v/>
      </c>
      <c r="AH63" s="48">
        <f>0</f>
        <v/>
      </c>
      <c r="AI63" s="48">
        <f>0</f>
        <v/>
      </c>
      <c r="AJ63" s="48">
        <f>'Rev-Capacity'!AJ29</f>
        <v/>
      </c>
      <c r="AK63" s="48">
        <f>AJ63*(1+AK$10)*(1-AK$11)*IF(MOD((AK$7-33),12)=0,IF((AK$7-33)=12,AK$12,AK$13)*(1+AK$14),1)</f>
        <v/>
      </c>
      <c r="AL63" s="48">
        <f>AK63*(1+AL$10)*(1-AL$11)*IF(MOD((AL$7-33),12)=0,IF((AL$7-33)=12,AL$12,AL$13)*(1+AL$14),1)</f>
        <v/>
      </c>
      <c r="AM63" s="48">
        <f>AL63*(1+AM$10)*(1-AM$11)*IF(MOD((AM$7-33),12)=0,IF((AM$7-33)=12,AM$12,AM$13)*(1+AM$14),1)</f>
        <v/>
      </c>
      <c r="AN63" s="48">
        <f>AM63*(1+AN$10)*(1-AN$11)*IF(MOD((AN$7-33),12)=0,IF((AN$7-33)=12,AN$12,AN$13)*(1+AN$14),1)</f>
        <v/>
      </c>
      <c r="AO63" s="48">
        <f>AN63*(1+AO$10)*(1-AO$11)*IF(MOD((AO$7-33),12)=0,IF((AO$7-33)=12,AO$12,AO$13)*(1+AO$14),1)</f>
        <v/>
      </c>
      <c r="AP63" s="48">
        <f>AO63*(1+AP$10)*(1-AP$11)*IF(MOD((AP$7-33),12)=0,IF((AP$7-33)=12,AP$12,AP$13)*(1+AP$14),1)</f>
        <v/>
      </c>
      <c r="AQ63" s="48">
        <f>AP63*(1+AQ$10)*(1-AQ$11)*IF(MOD((AQ$7-33),12)=0,IF((AQ$7-33)=12,AQ$12,AQ$13)*(1+AQ$14),1)</f>
        <v/>
      </c>
      <c r="AR63" s="48">
        <f>AQ63*(1+AR$10)*(1-AR$11)*IF(MOD((AR$7-33),12)=0,IF((AR$7-33)=12,AR$12,AR$13)*(1+AR$14),1)</f>
        <v/>
      </c>
      <c r="AS63" s="48">
        <f>AR63*(1+AS$10)*(1-AS$11)*IF(MOD((AS$7-33),12)=0,IF((AS$7-33)=12,AS$12,AS$13)*(1+AS$14),1)</f>
        <v/>
      </c>
      <c r="AT63" s="48">
        <f>AS63*(1+AT$10)*(1-AT$11)*IF(MOD((AT$7-33),12)=0,IF((AT$7-33)=12,AT$12,AT$13)*(1+AT$14),1)</f>
        <v/>
      </c>
      <c r="AU63" s="48">
        <f>AT63*(1+AU$10)*(1-AU$11)*IF(MOD((AU$7-33),12)=0,IF((AU$7-33)=12,AU$12,AU$13)*(1+AU$14),1)</f>
        <v/>
      </c>
      <c r="AV63" s="48">
        <f>AU63*(1+AV$10)*(1-AV$11)*IF(MOD((AV$7-33),12)=0,IF((AV$7-33)=12,AV$12,AV$13)*(1+AV$14),1)</f>
        <v/>
      </c>
      <c r="AW63" s="48">
        <f>AV63*(1+AW$10)*(1-AW$11)*IF(MOD((AW$7-33),12)=0,IF((AW$7-33)=12,AW$12,AW$13)*(1+AW$14),1)</f>
        <v/>
      </c>
      <c r="AX63" s="48">
        <f>AW63*(1+AX$10)*(1-AX$11)*IF(MOD((AX$7-33),12)=0,IF((AX$7-33)=12,AX$12,AX$13)*(1+AX$14),1)</f>
        <v/>
      </c>
      <c r="AY63" s="48">
        <f>AX63*(1+AY$10)*(1-AY$11)*IF(MOD((AY$7-33),12)=0,IF((AY$7-33)=12,AY$12,AY$13)*(1+AY$14),1)</f>
        <v/>
      </c>
      <c r="AZ63" s="48">
        <f>AY63*(1+AZ$10)*(1-AZ$11)*IF(MOD((AZ$7-33),12)=0,IF((AZ$7-33)=12,AZ$12,AZ$13)*(1+AZ$14),1)</f>
        <v/>
      </c>
      <c r="BA63" s="48">
        <f>AZ63*(1+BA$10)*(1-BA$11)*IF(MOD((BA$7-33),12)=0,IF((BA$7-33)=12,BA$12,BA$13)*(1+BA$14),1)</f>
        <v/>
      </c>
      <c r="BB63" s="48">
        <f>BA63*(1+BB$10)*(1-BB$11)*IF(MOD((BB$7-33),12)=0,IF((BB$7-33)=12,BB$12,BB$13)*(1+BB$14),1)</f>
        <v/>
      </c>
      <c r="BC63" s="48">
        <f>BB63*(1+BC$10)*(1-BC$11)*IF(MOD((BC$7-33),12)=0,IF((BC$7-33)=12,BC$12,BC$13)*(1+BC$14),1)</f>
        <v/>
      </c>
      <c r="BD63" s="48">
        <f>BC63*(1+BD$10)*(1-BD$11)*IF(MOD((BD$7-33),12)=0,IF((BD$7-33)=12,BD$12,BD$13)*(1+BD$14),1)</f>
        <v/>
      </c>
      <c r="BE63" s="48">
        <f>BD63*(1+BE$10)*(1-BE$11)*IF(MOD((BE$7-33),12)=0,IF((BE$7-33)=12,BE$12,BE$13)*(1+BE$14),1)</f>
        <v/>
      </c>
      <c r="BF63" s="48">
        <f>BE63*(1+BF$10)*(1-BF$11)*IF(MOD((BF$7-33),12)=0,IF((BF$7-33)=12,BF$12,BF$13)*(1+BF$14),1)</f>
        <v/>
      </c>
      <c r="BG63" s="48">
        <f>BF63*(1+BG$10)*(1-BG$11)*IF(MOD((BG$7-33),12)=0,IF((BG$7-33)=12,BG$12,BG$13)*(1+BG$14),1)</f>
        <v/>
      </c>
      <c r="BH63" s="48">
        <f>BG63*(1+BH$10)*(1-BH$11)*IF(MOD((BH$7-33),12)=0,IF((BH$7-33)=12,BH$12,BH$13)*(1+BH$14),1)</f>
        <v/>
      </c>
      <c r="BI63" s="48">
        <f>BH63*(1+BI$10)*(1-BI$11)*IF(MOD((BI$7-33),12)=0,IF((BI$7-33)=12,BI$12,BI$13)*(1+BI$14),1)</f>
        <v/>
      </c>
      <c r="BJ63" s="48">
        <f>BI63*(1+BJ$10)*(1-BJ$11)*IF(MOD((BJ$7-33),12)=0,IF((BJ$7-33)=12,BJ$12,BJ$13)*(1+BJ$14),1)</f>
        <v/>
      </c>
      <c r="BK63" s="48">
        <f>BJ63*(1+BK$10)*(1-BK$11)*IF(MOD((BK$7-33),12)=0,IF((BK$7-33)=12,BK$12,BK$13)*(1+BK$14),1)</f>
        <v/>
      </c>
    </row>
    <row r="64" hidden="1" outlineLevel="1">
      <c r="B64" s="18" t="inlineStr">
        <is>
          <t xml:space="preserve">    Cohort Oct-28</t>
        </is>
      </c>
      <c r="C64" s="19" t="inlineStr">
        <is>
          <t>$</t>
        </is>
      </c>
      <c r="D64" s="48">
        <f>0</f>
        <v/>
      </c>
      <c r="E64" s="48">
        <f>0</f>
        <v/>
      </c>
      <c r="F64" s="48">
        <f>0</f>
        <v/>
      </c>
      <c r="G64" s="48">
        <f>0</f>
        <v/>
      </c>
      <c r="H64" s="48">
        <f>0</f>
        <v/>
      </c>
      <c r="I64" s="48">
        <f>0</f>
        <v/>
      </c>
      <c r="J64" s="48">
        <f>0</f>
        <v/>
      </c>
      <c r="K64" s="48">
        <f>0</f>
        <v/>
      </c>
      <c r="L64" s="48">
        <f>0</f>
        <v/>
      </c>
      <c r="M64" s="48">
        <f>0</f>
        <v/>
      </c>
      <c r="N64" s="48">
        <f>0</f>
        <v/>
      </c>
      <c r="O64" s="48">
        <f>0</f>
        <v/>
      </c>
      <c r="P64" s="48">
        <f>0</f>
        <v/>
      </c>
      <c r="Q64" s="48">
        <f>0</f>
        <v/>
      </c>
      <c r="R64" s="48">
        <f>0</f>
        <v/>
      </c>
      <c r="S64" s="48">
        <f>0</f>
        <v/>
      </c>
      <c r="T64" s="48">
        <f>0</f>
        <v/>
      </c>
      <c r="U64" s="48">
        <f>0</f>
        <v/>
      </c>
      <c r="V64" s="48">
        <f>0</f>
        <v/>
      </c>
      <c r="W64" s="48">
        <f>0</f>
        <v/>
      </c>
      <c r="X64" s="48">
        <f>0</f>
        <v/>
      </c>
      <c r="Y64" s="48">
        <f>0</f>
        <v/>
      </c>
      <c r="Z64" s="48">
        <f>0</f>
        <v/>
      </c>
      <c r="AA64" s="48">
        <f>0</f>
        <v/>
      </c>
      <c r="AB64" s="48">
        <f>0</f>
        <v/>
      </c>
      <c r="AC64" s="48">
        <f>0</f>
        <v/>
      </c>
      <c r="AD64" s="48">
        <f>0</f>
        <v/>
      </c>
      <c r="AE64" s="48">
        <f>0</f>
        <v/>
      </c>
      <c r="AF64" s="48">
        <f>0</f>
        <v/>
      </c>
      <c r="AG64" s="48">
        <f>0</f>
        <v/>
      </c>
      <c r="AH64" s="48">
        <f>0</f>
        <v/>
      </c>
      <c r="AI64" s="48">
        <f>0</f>
        <v/>
      </c>
      <c r="AJ64" s="48">
        <f>0</f>
        <v/>
      </c>
      <c r="AK64" s="48">
        <f>'Rev-Capacity'!AK29</f>
        <v/>
      </c>
      <c r="AL64" s="48">
        <f>AK64*(1+AL$10)*(1-AL$11)*IF(MOD((AL$7-34),12)=0,IF((AL$7-34)=12,AL$12,AL$13)*(1+AL$14),1)</f>
        <v/>
      </c>
      <c r="AM64" s="48">
        <f>AL64*(1+AM$10)*(1-AM$11)*IF(MOD((AM$7-34),12)=0,IF((AM$7-34)=12,AM$12,AM$13)*(1+AM$14),1)</f>
        <v/>
      </c>
      <c r="AN64" s="48">
        <f>AM64*(1+AN$10)*(1-AN$11)*IF(MOD((AN$7-34),12)=0,IF((AN$7-34)=12,AN$12,AN$13)*(1+AN$14),1)</f>
        <v/>
      </c>
      <c r="AO64" s="48">
        <f>AN64*(1+AO$10)*(1-AO$11)*IF(MOD((AO$7-34),12)=0,IF((AO$7-34)=12,AO$12,AO$13)*(1+AO$14),1)</f>
        <v/>
      </c>
      <c r="AP64" s="48">
        <f>AO64*(1+AP$10)*(1-AP$11)*IF(MOD((AP$7-34),12)=0,IF((AP$7-34)=12,AP$12,AP$13)*(1+AP$14),1)</f>
        <v/>
      </c>
      <c r="AQ64" s="48">
        <f>AP64*(1+AQ$10)*(1-AQ$11)*IF(MOD((AQ$7-34),12)=0,IF((AQ$7-34)=12,AQ$12,AQ$13)*(1+AQ$14),1)</f>
        <v/>
      </c>
      <c r="AR64" s="48">
        <f>AQ64*(1+AR$10)*(1-AR$11)*IF(MOD((AR$7-34),12)=0,IF((AR$7-34)=12,AR$12,AR$13)*(1+AR$14),1)</f>
        <v/>
      </c>
      <c r="AS64" s="48">
        <f>AR64*(1+AS$10)*(1-AS$11)*IF(MOD((AS$7-34),12)=0,IF((AS$7-34)=12,AS$12,AS$13)*(1+AS$14),1)</f>
        <v/>
      </c>
      <c r="AT64" s="48">
        <f>AS64*(1+AT$10)*(1-AT$11)*IF(MOD((AT$7-34),12)=0,IF((AT$7-34)=12,AT$12,AT$13)*(1+AT$14),1)</f>
        <v/>
      </c>
      <c r="AU64" s="48">
        <f>AT64*(1+AU$10)*(1-AU$11)*IF(MOD((AU$7-34),12)=0,IF((AU$7-34)=12,AU$12,AU$13)*(1+AU$14),1)</f>
        <v/>
      </c>
      <c r="AV64" s="48">
        <f>AU64*(1+AV$10)*(1-AV$11)*IF(MOD((AV$7-34),12)=0,IF((AV$7-34)=12,AV$12,AV$13)*(1+AV$14),1)</f>
        <v/>
      </c>
      <c r="AW64" s="48">
        <f>AV64*(1+AW$10)*(1-AW$11)*IF(MOD((AW$7-34),12)=0,IF((AW$7-34)=12,AW$12,AW$13)*(1+AW$14),1)</f>
        <v/>
      </c>
      <c r="AX64" s="48">
        <f>AW64*(1+AX$10)*(1-AX$11)*IF(MOD((AX$7-34),12)=0,IF((AX$7-34)=12,AX$12,AX$13)*(1+AX$14),1)</f>
        <v/>
      </c>
      <c r="AY64" s="48">
        <f>AX64*(1+AY$10)*(1-AY$11)*IF(MOD((AY$7-34),12)=0,IF((AY$7-34)=12,AY$12,AY$13)*(1+AY$14),1)</f>
        <v/>
      </c>
      <c r="AZ64" s="48">
        <f>AY64*(1+AZ$10)*(1-AZ$11)*IF(MOD((AZ$7-34),12)=0,IF((AZ$7-34)=12,AZ$12,AZ$13)*(1+AZ$14),1)</f>
        <v/>
      </c>
      <c r="BA64" s="48">
        <f>AZ64*(1+BA$10)*(1-BA$11)*IF(MOD((BA$7-34),12)=0,IF((BA$7-34)=12,BA$12,BA$13)*(1+BA$14),1)</f>
        <v/>
      </c>
      <c r="BB64" s="48">
        <f>BA64*(1+BB$10)*(1-BB$11)*IF(MOD((BB$7-34),12)=0,IF((BB$7-34)=12,BB$12,BB$13)*(1+BB$14),1)</f>
        <v/>
      </c>
      <c r="BC64" s="48">
        <f>BB64*(1+BC$10)*(1-BC$11)*IF(MOD((BC$7-34),12)=0,IF((BC$7-34)=12,BC$12,BC$13)*(1+BC$14),1)</f>
        <v/>
      </c>
      <c r="BD64" s="48">
        <f>BC64*(1+BD$10)*(1-BD$11)*IF(MOD((BD$7-34),12)=0,IF((BD$7-34)=12,BD$12,BD$13)*(1+BD$14),1)</f>
        <v/>
      </c>
      <c r="BE64" s="48">
        <f>BD64*(1+BE$10)*(1-BE$11)*IF(MOD((BE$7-34),12)=0,IF((BE$7-34)=12,BE$12,BE$13)*(1+BE$14),1)</f>
        <v/>
      </c>
      <c r="BF64" s="48">
        <f>BE64*(1+BF$10)*(1-BF$11)*IF(MOD((BF$7-34),12)=0,IF((BF$7-34)=12,BF$12,BF$13)*(1+BF$14),1)</f>
        <v/>
      </c>
      <c r="BG64" s="48">
        <f>BF64*(1+BG$10)*(1-BG$11)*IF(MOD((BG$7-34),12)=0,IF((BG$7-34)=12,BG$12,BG$13)*(1+BG$14),1)</f>
        <v/>
      </c>
      <c r="BH64" s="48">
        <f>BG64*(1+BH$10)*(1-BH$11)*IF(MOD((BH$7-34),12)=0,IF((BH$7-34)=12,BH$12,BH$13)*(1+BH$14),1)</f>
        <v/>
      </c>
      <c r="BI64" s="48">
        <f>BH64*(1+BI$10)*(1-BI$11)*IF(MOD((BI$7-34),12)=0,IF((BI$7-34)=12,BI$12,BI$13)*(1+BI$14),1)</f>
        <v/>
      </c>
      <c r="BJ64" s="48">
        <f>BI64*(1+BJ$10)*(1-BJ$11)*IF(MOD((BJ$7-34),12)=0,IF((BJ$7-34)=12,BJ$12,BJ$13)*(1+BJ$14),1)</f>
        <v/>
      </c>
      <c r="BK64" s="48">
        <f>BJ64*(1+BK$10)*(1-BK$11)*IF(MOD((BK$7-34),12)=0,IF((BK$7-34)=12,BK$12,BK$13)*(1+BK$14),1)</f>
        <v/>
      </c>
    </row>
    <row r="65" hidden="1" outlineLevel="1">
      <c r="B65" s="18" t="inlineStr">
        <is>
          <t xml:space="preserve">    Cohort Nov-28</t>
        </is>
      </c>
      <c r="C65" s="19" t="inlineStr">
        <is>
          <t>$</t>
        </is>
      </c>
      <c r="D65" s="48">
        <f>0</f>
        <v/>
      </c>
      <c r="E65" s="48">
        <f>0</f>
        <v/>
      </c>
      <c r="F65" s="48">
        <f>0</f>
        <v/>
      </c>
      <c r="G65" s="48">
        <f>0</f>
        <v/>
      </c>
      <c r="H65" s="48">
        <f>0</f>
        <v/>
      </c>
      <c r="I65" s="48">
        <f>0</f>
        <v/>
      </c>
      <c r="J65" s="48">
        <f>0</f>
        <v/>
      </c>
      <c r="K65" s="48">
        <f>0</f>
        <v/>
      </c>
      <c r="L65" s="48">
        <f>0</f>
        <v/>
      </c>
      <c r="M65" s="48">
        <f>0</f>
        <v/>
      </c>
      <c r="N65" s="48">
        <f>0</f>
        <v/>
      </c>
      <c r="O65" s="48">
        <f>0</f>
        <v/>
      </c>
      <c r="P65" s="48">
        <f>0</f>
        <v/>
      </c>
      <c r="Q65" s="48">
        <f>0</f>
        <v/>
      </c>
      <c r="R65" s="48">
        <f>0</f>
        <v/>
      </c>
      <c r="S65" s="48">
        <f>0</f>
        <v/>
      </c>
      <c r="T65" s="48">
        <f>0</f>
        <v/>
      </c>
      <c r="U65" s="48">
        <f>0</f>
        <v/>
      </c>
      <c r="V65" s="48">
        <f>0</f>
        <v/>
      </c>
      <c r="W65" s="48">
        <f>0</f>
        <v/>
      </c>
      <c r="X65" s="48">
        <f>0</f>
        <v/>
      </c>
      <c r="Y65" s="48">
        <f>0</f>
        <v/>
      </c>
      <c r="Z65" s="48">
        <f>0</f>
        <v/>
      </c>
      <c r="AA65" s="48">
        <f>0</f>
        <v/>
      </c>
      <c r="AB65" s="48">
        <f>0</f>
        <v/>
      </c>
      <c r="AC65" s="48">
        <f>0</f>
        <v/>
      </c>
      <c r="AD65" s="48">
        <f>0</f>
        <v/>
      </c>
      <c r="AE65" s="48">
        <f>0</f>
        <v/>
      </c>
      <c r="AF65" s="48">
        <f>0</f>
        <v/>
      </c>
      <c r="AG65" s="48">
        <f>0</f>
        <v/>
      </c>
      <c r="AH65" s="48">
        <f>0</f>
        <v/>
      </c>
      <c r="AI65" s="48">
        <f>0</f>
        <v/>
      </c>
      <c r="AJ65" s="48">
        <f>0</f>
        <v/>
      </c>
      <c r="AK65" s="48">
        <f>0</f>
        <v/>
      </c>
      <c r="AL65" s="48">
        <f>'Rev-Capacity'!AL29</f>
        <v/>
      </c>
      <c r="AM65" s="48">
        <f>AL65*(1+AM$10)*(1-AM$11)*IF(MOD((AM$7-35),12)=0,IF((AM$7-35)=12,AM$12,AM$13)*(1+AM$14),1)</f>
        <v/>
      </c>
      <c r="AN65" s="48">
        <f>AM65*(1+AN$10)*(1-AN$11)*IF(MOD((AN$7-35),12)=0,IF((AN$7-35)=12,AN$12,AN$13)*(1+AN$14),1)</f>
        <v/>
      </c>
      <c r="AO65" s="48">
        <f>AN65*(1+AO$10)*(1-AO$11)*IF(MOD((AO$7-35),12)=0,IF((AO$7-35)=12,AO$12,AO$13)*(1+AO$14),1)</f>
        <v/>
      </c>
      <c r="AP65" s="48">
        <f>AO65*(1+AP$10)*(1-AP$11)*IF(MOD((AP$7-35),12)=0,IF((AP$7-35)=12,AP$12,AP$13)*(1+AP$14),1)</f>
        <v/>
      </c>
      <c r="AQ65" s="48">
        <f>AP65*(1+AQ$10)*(1-AQ$11)*IF(MOD((AQ$7-35),12)=0,IF((AQ$7-35)=12,AQ$12,AQ$13)*(1+AQ$14),1)</f>
        <v/>
      </c>
      <c r="AR65" s="48">
        <f>AQ65*(1+AR$10)*(1-AR$11)*IF(MOD((AR$7-35),12)=0,IF((AR$7-35)=12,AR$12,AR$13)*(1+AR$14),1)</f>
        <v/>
      </c>
      <c r="AS65" s="48">
        <f>AR65*(1+AS$10)*(1-AS$11)*IF(MOD((AS$7-35),12)=0,IF((AS$7-35)=12,AS$12,AS$13)*(1+AS$14),1)</f>
        <v/>
      </c>
      <c r="AT65" s="48">
        <f>AS65*(1+AT$10)*(1-AT$11)*IF(MOD((AT$7-35),12)=0,IF((AT$7-35)=12,AT$12,AT$13)*(1+AT$14),1)</f>
        <v/>
      </c>
      <c r="AU65" s="48">
        <f>AT65*(1+AU$10)*(1-AU$11)*IF(MOD((AU$7-35),12)=0,IF((AU$7-35)=12,AU$12,AU$13)*(1+AU$14),1)</f>
        <v/>
      </c>
      <c r="AV65" s="48">
        <f>AU65*(1+AV$10)*(1-AV$11)*IF(MOD((AV$7-35),12)=0,IF((AV$7-35)=12,AV$12,AV$13)*(1+AV$14),1)</f>
        <v/>
      </c>
      <c r="AW65" s="48">
        <f>AV65*(1+AW$10)*(1-AW$11)*IF(MOD((AW$7-35),12)=0,IF((AW$7-35)=12,AW$12,AW$13)*(1+AW$14),1)</f>
        <v/>
      </c>
      <c r="AX65" s="48">
        <f>AW65*(1+AX$10)*(1-AX$11)*IF(MOD((AX$7-35),12)=0,IF((AX$7-35)=12,AX$12,AX$13)*(1+AX$14),1)</f>
        <v/>
      </c>
      <c r="AY65" s="48">
        <f>AX65*(1+AY$10)*(1-AY$11)*IF(MOD((AY$7-35),12)=0,IF((AY$7-35)=12,AY$12,AY$13)*(1+AY$14),1)</f>
        <v/>
      </c>
      <c r="AZ65" s="48">
        <f>AY65*(1+AZ$10)*(1-AZ$11)*IF(MOD((AZ$7-35),12)=0,IF((AZ$7-35)=12,AZ$12,AZ$13)*(1+AZ$14),1)</f>
        <v/>
      </c>
      <c r="BA65" s="48">
        <f>AZ65*(1+BA$10)*(1-BA$11)*IF(MOD((BA$7-35),12)=0,IF((BA$7-35)=12,BA$12,BA$13)*(1+BA$14),1)</f>
        <v/>
      </c>
      <c r="BB65" s="48">
        <f>BA65*(1+BB$10)*(1-BB$11)*IF(MOD((BB$7-35),12)=0,IF((BB$7-35)=12,BB$12,BB$13)*(1+BB$14),1)</f>
        <v/>
      </c>
      <c r="BC65" s="48">
        <f>BB65*(1+BC$10)*(1-BC$11)*IF(MOD((BC$7-35),12)=0,IF((BC$7-35)=12,BC$12,BC$13)*(1+BC$14),1)</f>
        <v/>
      </c>
      <c r="BD65" s="48">
        <f>BC65*(1+BD$10)*(1-BD$11)*IF(MOD((BD$7-35),12)=0,IF((BD$7-35)=12,BD$12,BD$13)*(1+BD$14),1)</f>
        <v/>
      </c>
      <c r="BE65" s="48">
        <f>BD65*(1+BE$10)*(1-BE$11)*IF(MOD((BE$7-35),12)=0,IF((BE$7-35)=12,BE$12,BE$13)*(1+BE$14),1)</f>
        <v/>
      </c>
      <c r="BF65" s="48">
        <f>BE65*(1+BF$10)*(1-BF$11)*IF(MOD((BF$7-35),12)=0,IF((BF$7-35)=12,BF$12,BF$13)*(1+BF$14),1)</f>
        <v/>
      </c>
      <c r="BG65" s="48">
        <f>BF65*(1+BG$10)*(1-BG$11)*IF(MOD((BG$7-35),12)=0,IF((BG$7-35)=12,BG$12,BG$13)*(1+BG$14),1)</f>
        <v/>
      </c>
      <c r="BH65" s="48">
        <f>BG65*(1+BH$10)*(1-BH$11)*IF(MOD((BH$7-35),12)=0,IF((BH$7-35)=12,BH$12,BH$13)*(1+BH$14),1)</f>
        <v/>
      </c>
      <c r="BI65" s="48">
        <f>BH65*(1+BI$10)*(1-BI$11)*IF(MOD((BI$7-35),12)=0,IF((BI$7-35)=12,BI$12,BI$13)*(1+BI$14),1)</f>
        <v/>
      </c>
      <c r="BJ65" s="48">
        <f>BI65*(1+BJ$10)*(1-BJ$11)*IF(MOD((BJ$7-35),12)=0,IF((BJ$7-35)=12,BJ$12,BJ$13)*(1+BJ$14),1)</f>
        <v/>
      </c>
      <c r="BK65" s="48">
        <f>BJ65*(1+BK$10)*(1-BK$11)*IF(MOD((BK$7-35),12)=0,IF((BK$7-35)=12,BK$12,BK$13)*(1+BK$14),1)</f>
        <v/>
      </c>
    </row>
    <row r="66" hidden="1" outlineLevel="1">
      <c r="B66" s="18" t="inlineStr">
        <is>
          <t xml:space="preserve">    Cohort Dec-28</t>
        </is>
      </c>
      <c r="C66" s="19" t="inlineStr">
        <is>
          <t>$</t>
        </is>
      </c>
      <c r="D66" s="48">
        <f>0</f>
        <v/>
      </c>
      <c r="E66" s="48">
        <f>0</f>
        <v/>
      </c>
      <c r="F66" s="48">
        <f>0</f>
        <v/>
      </c>
      <c r="G66" s="48">
        <f>0</f>
        <v/>
      </c>
      <c r="H66" s="48">
        <f>0</f>
        <v/>
      </c>
      <c r="I66" s="48">
        <f>0</f>
        <v/>
      </c>
      <c r="J66" s="48">
        <f>0</f>
        <v/>
      </c>
      <c r="K66" s="48">
        <f>0</f>
        <v/>
      </c>
      <c r="L66" s="48">
        <f>0</f>
        <v/>
      </c>
      <c r="M66" s="48">
        <f>0</f>
        <v/>
      </c>
      <c r="N66" s="48">
        <f>0</f>
        <v/>
      </c>
      <c r="O66" s="48">
        <f>0</f>
        <v/>
      </c>
      <c r="P66" s="48">
        <f>0</f>
        <v/>
      </c>
      <c r="Q66" s="48">
        <f>0</f>
        <v/>
      </c>
      <c r="R66" s="48">
        <f>0</f>
        <v/>
      </c>
      <c r="S66" s="48">
        <f>0</f>
        <v/>
      </c>
      <c r="T66" s="48">
        <f>0</f>
        <v/>
      </c>
      <c r="U66" s="48">
        <f>0</f>
        <v/>
      </c>
      <c r="V66" s="48">
        <f>0</f>
        <v/>
      </c>
      <c r="W66" s="48">
        <f>0</f>
        <v/>
      </c>
      <c r="X66" s="48">
        <f>0</f>
        <v/>
      </c>
      <c r="Y66" s="48">
        <f>0</f>
        <v/>
      </c>
      <c r="Z66" s="48">
        <f>0</f>
        <v/>
      </c>
      <c r="AA66" s="48">
        <f>0</f>
        <v/>
      </c>
      <c r="AB66" s="48">
        <f>0</f>
        <v/>
      </c>
      <c r="AC66" s="48">
        <f>0</f>
        <v/>
      </c>
      <c r="AD66" s="48">
        <f>0</f>
        <v/>
      </c>
      <c r="AE66" s="48">
        <f>0</f>
        <v/>
      </c>
      <c r="AF66" s="48">
        <f>0</f>
        <v/>
      </c>
      <c r="AG66" s="48">
        <f>0</f>
        <v/>
      </c>
      <c r="AH66" s="48">
        <f>0</f>
        <v/>
      </c>
      <c r="AI66" s="48">
        <f>0</f>
        <v/>
      </c>
      <c r="AJ66" s="48">
        <f>0</f>
        <v/>
      </c>
      <c r="AK66" s="48">
        <f>0</f>
        <v/>
      </c>
      <c r="AL66" s="48">
        <f>0</f>
        <v/>
      </c>
      <c r="AM66" s="48">
        <f>'Rev-Capacity'!AM29</f>
        <v/>
      </c>
      <c r="AN66" s="48">
        <f>AM66*(1+AN$10)*(1-AN$11)*IF(MOD((AN$7-36),12)=0,IF((AN$7-36)=12,AN$12,AN$13)*(1+AN$14),1)</f>
        <v/>
      </c>
      <c r="AO66" s="48">
        <f>AN66*(1+AO$10)*(1-AO$11)*IF(MOD((AO$7-36),12)=0,IF((AO$7-36)=12,AO$12,AO$13)*(1+AO$14),1)</f>
        <v/>
      </c>
      <c r="AP66" s="48">
        <f>AO66*(1+AP$10)*(1-AP$11)*IF(MOD((AP$7-36),12)=0,IF((AP$7-36)=12,AP$12,AP$13)*(1+AP$14),1)</f>
        <v/>
      </c>
      <c r="AQ66" s="48">
        <f>AP66*(1+AQ$10)*(1-AQ$11)*IF(MOD((AQ$7-36),12)=0,IF((AQ$7-36)=12,AQ$12,AQ$13)*(1+AQ$14),1)</f>
        <v/>
      </c>
      <c r="AR66" s="48">
        <f>AQ66*(1+AR$10)*(1-AR$11)*IF(MOD((AR$7-36),12)=0,IF((AR$7-36)=12,AR$12,AR$13)*(1+AR$14),1)</f>
        <v/>
      </c>
      <c r="AS66" s="48">
        <f>AR66*(1+AS$10)*(1-AS$11)*IF(MOD((AS$7-36),12)=0,IF((AS$7-36)=12,AS$12,AS$13)*(1+AS$14),1)</f>
        <v/>
      </c>
      <c r="AT66" s="48">
        <f>AS66*(1+AT$10)*(1-AT$11)*IF(MOD((AT$7-36),12)=0,IF((AT$7-36)=12,AT$12,AT$13)*(1+AT$14),1)</f>
        <v/>
      </c>
      <c r="AU66" s="48">
        <f>AT66*(1+AU$10)*(1-AU$11)*IF(MOD((AU$7-36),12)=0,IF((AU$7-36)=12,AU$12,AU$13)*(1+AU$14),1)</f>
        <v/>
      </c>
      <c r="AV66" s="48">
        <f>AU66*(1+AV$10)*(1-AV$11)*IF(MOD((AV$7-36),12)=0,IF((AV$7-36)=12,AV$12,AV$13)*(1+AV$14),1)</f>
        <v/>
      </c>
      <c r="AW66" s="48">
        <f>AV66*(1+AW$10)*(1-AW$11)*IF(MOD((AW$7-36),12)=0,IF((AW$7-36)=12,AW$12,AW$13)*(1+AW$14),1)</f>
        <v/>
      </c>
      <c r="AX66" s="48">
        <f>AW66*(1+AX$10)*(1-AX$11)*IF(MOD((AX$7-36),12)=0,IF((AX$7-36)=12,AX$12,AX$13)*(1+AX$14),1)</f>
        <v/>
      </c>
      <c r="AY66" s="48">
        <f>AX66*(1+AY$10)*(1-AY$11)*IF(MOD((AY$7-36),12)=0,IF((AY$7-36)=12,AY$12,AY$13)*(1+AY$14),1)</f>
        <v/>
      </c>
      <c r="AZ66" s="48">
        <f>AY66*(1+AZ$10)*(1-AZ$11)*IF(MOD((AZ$7-36),12)=0,IF((AZ$7-36)=12,AZ$12,AZ$13)*(1+AZ$14),1)</f>
        <v/>
      </c>
      <c r="BA66" s="48">
        <f>AZ66*(1+BA$10)*(1-BA$11)*IF(MOD((BA$7-36),12)=0,IF((BA$7-36)=12,BA$12,BA$13)*(1+BA$14),1)</f>
        <v/>
      </c>
      <c r="BB66" s="48">
        <f>BA66*(1+BB$10)*(1-BB$11)*IF(MOD((BB$7-36),12)=0,IF((BB$7-36)=12,BB$12,BB$13)*(1+BB$14),1)</f>
        <v/>
      </c>
      <c r="BC66" s="48">
        <f>BB66*(1+BC$10)*(1-BC$11)*IF(MOD((BC$7-36),12)=0,IF((BC$7-36)=12,BC$12,BC$13)*(1+BC$14),1)</f>
        <v/>
      </c>
      <c r="BD66" s="48">
        <f>BC66*(1+BD$10)*(1-BD$11)*IF(MOD((BD$7-36),12)=0,IF((BD$7-36)=12,BD$12,BD$13)*(1+BD$14),1)</f>
        <v/>
      </c>
      <c r="BE66" s="48">
        <f>BD66*(1+BE$10)*(1-BE$11)*IF(MOD((BE$7-36),12)=0,IF((BE$7-36)=12,BE$12,BE$13)*(1+BE$14),1)</f>
        <v/>
      </c>
      <c r="BF66" s="48">
        <f>BE66*(1+BF$10)*(1-BF$11)*IF(MOD((BF$7-36),12)=0,IF((BF$7-36)=12,BF$12,BF$13)*(1+BF$14),1)</f>
        <v/>
      </c>
      <c r="BG66" s="48">
        <f>BF66*(1+BG$10)*(1-BG$11)*IF(MOD((BG$7-36),12)=0,IF((BG$7-36)=12,BG$12,BG$13)*(1+BG$14),1)</f>
        <v/>
      </c>
      <c r="BH66" s="48">
        <f>BG66*(1+BH$10)*(1-BH$11)*IF(MOD((BH$7-36),12)=0,IF((BH$7-36)=12,BH$12,BH$13)*(1+BH$14),1)</f>
        <v/>
      </c>
      <c r="BI66" s="48">
        <f>BH66*(1+BI$10)*(1-BI$11)*IF(MOD((BI$7-36),12)=0,IF((BI$7-36)=12,BI$12,BI$13)*(1+BI$14),1)</f>
        <v/>
      </c>
      <c r="BJ66" s="48">
        <f>BI66*(1+BJ$10)*(1-BJ$11)*IF(MOD((BJ$7-36),12)=0,IF((BJ$7-36)=12,BJ$12,BJ$13)*(1+BJ$14),1)</f>
        <v/>
      </c>
      <c r="BK66" s="48">
        <f>BJ66*(1+BK$10)*(1-BK$11)*IF(MOD((BK$7-36),12)=0,IF((BK$7-36)=12,BK$12,BK$13)*(1+BK$14),1)</f>
        <v/>
      </c>
    </row>
    <row r="67" hidden="1" outlineLevel="1">
      <c r="B67" s="18" t="inlineStr">
        <is>
          <t xml:space="preserve">    Cohort Jan-29</t>
        </is>
      </c>
      <c r="C67" s="19" t="inlineStr">
        <is>
          <t>$</t>
        </is>
      </c>
      <c r="D67" s="48">
        <f>0</f>
        <v/>
      </c>
      <c r="E67" s="48">
        <f>0</f>
        <v/>
      </c>
      <c r="F67" s="48">
        <f>0</f>
        <v/>
      </c>
      <c r="G67" s="48">
        <f>0</f>
        <v/>
      </c>
      <c r="H67" s="48">
        <f>0</f>
        <v/>
      </c>
      <c r="I67" s="48">
        <f>0</f>
        <v/>
      </c>
      <c r="J67" s="48">
        <f>0</f>
        <v/>
      </c>
      <c r="K67" s="48">
        <f>0</f>
        <v/>
      </c>
      <c r="L67" s="48">
        <f>0</f>
        <v/>
      </c>
      <c r="M67" s="48">
        <f>0</f>
        <v/>
      </c>
      <c r="N67" s="48">
        <f>0</f>
        <v/>
      </c>
      <c r="O67" s="48">
        <f>0</f>
        <v/>
      </c>
      <c r="P67" s="48">
        <f>0</f>
        <v/>
      </c>
      <c r="Q67" s="48">
        <f>0</f>
        <v/>
      </c>
      <c r="R67" s="48">
        <f>0</f>
        <v/>
      </c>
      <c r="S67" s="48">
        <f>0</f>
        <v/>
      </c>
      <c r="T67" s="48">
        <f>0</f>
        <v/>
      </c>
      <c r="U67" s="48">
        <f>0</f>
        <v/>
      </c>
      <c r="V67" s="48">
        <f>0</f>
        <v/>
      </c>
      <c r="W67" s="48">
        <f>0</f>
        <v/>
      </c>
      <c r="X67" s="48">
        <f>0</f>
        <v/>
      </c>
      <c r="Y67" s="48">
        <f>0</f>
        <v/>
      </c>
      <c r="Z67" s="48">
        <f>0</f>
        <v/>
      </c>
      <c r="AA67" s="48">
        <f>0</f>
        <v/>
      </c>
      <c r="AB67" s="48">
        <f>0</f>
        <v/>
      </c>
      <c r="AC67" s="48">
        <f>0</f>
        <v/>
      </c>
      <c r="AD67" s="48">
        <f>0</f>
        <v/>
      </c>
      <c r="AE67" s="48">
        <f>0</f>
        <v/>
      </c>
      <c r="AF67" s="48">
        <f>0</f>
        <v/>
      </c>
      <c r="AG67" s="48">
        <f>0</f>
        <v/>
      </c>
      <c r="AH67" s="48">
        <f>0</f>
        <v/>
      </c>
      <c r="AI67" s="48">
        <f>0</f>
        <v/>
      </c>
      <c r="AJ67" s="48">
        <f>0</f>
        <v/>
      </c>
      <c r="AK67" s="48">
        <f>0</f>
        <v/>
      </c>
      <c r="AL67" s="48">
        <f>0</f>
        <v/>
      </c>
      <c r="AM67" s="48">
        <f>0</f>
        <v/>
      </c>
      <c r="AN67" s="48">
        <f>'Rev-Capacity'!AN29</f>
        <v/>
      </c>
      <c r="AO67" s="48">
        <f>AN67*(1+AO$10)*(1-AO$11)*IF(MOD((AO$7-37),12)=0,IF((AO$7-37)=12,AO$12,AO$13)*(1+AO$14),1)</f>
        <v/>
      </c>
      <c r="AP67" s="48">
        <f>AO67*(1+AP$10)*(1-AP$11)*IF(MOD((AP$7-37),12)=0,IF((AP$7-37)=12,AP$12,AP$13)*(1+AP$14),1)</f>
        <v/>
      </c>
      <c r="AQ67" s="48">
        <f>AP67*(1+AQ$10)*(1-AQ$11)*IF(MOD((AQ$7-37),12)=0,IF((AQ$7-37)=12,AQ$12,AQ$13)*(1+AQ$14),1)</f>
        <v/>
      </c>
      <c r="AR67" s="48">
        <f>AQ67*(1+AR$10)*(1-AR$11)*IF(MOD((AR$7-37),12)=0,IF((AR$7-37)=12,AR$12,AR$13)*(1+AR$14),1)</f>
        <v/>
      </c>
      <c r="AS67" s="48">
        <f>AR67*(1+AS$10)*(1-AS$11)*IF(MOD((AS$7-37),12)=0,IF((AS$7-37)=12,AS$12,AS$13)*(1+AS$14),1)</f>
        <v/>
      </c>
      <c r="AT67" s="48">
        <f>AS67*(1+AT$10)*(1-AT$11)*IF(MOD((AT$7-37),12)=0,IF((AT$7-37)=12,AT$12,AT$13)*(1+AT$14),1)</f>
        <v/>
      </c>
      <c r="AU67" s="48">
        <f>AT67*(1+AU$10)*(1-AU$11)*IF(MOD((AU$7-37),12)=0,IF((AU$7-37)=12,AU$12,AU$13)*(1+AU$14),1)</f>
        <v/>
      </c>
      <c r="AV67" s="48">
        <f>AU67*(1+AV$10)*(1-AV$11)*IF(MOD((AV$7-37),12)=0,IF((AV$7-37)=12,AV$12,AV$13)*(1+AV$14),1)</f>
        <v/>
      </c>
      <c r="AW67" s="48">
        <f>AV67*(1+AW$10)*(1-AW$11)*IF(MOD((AW$7-37),12)=0,IF((AW$7-37)=12,AW$12,AW$13)*(1+AW$14),1)</f>
        <v/>
      </c>
      <c r="AX67" s="48">
        <f>AW67*(1+AX$10)*(1-AX$11)*IF(MOD((AX$7-37),12)=0,IF((AX$7-37)=12,AX$12,AX$13)*(1+AX$14),1)</f>
        <v/>
      </c>
      <c r="AY67" s="48">
        <f>AX67*(1+AY$10)*(1-AY$11)*IF(MOD((AY$7-37),12)=0,IF((AY$7-37)=12,AY$12,AY$13)*(1+AY$14),1)</f>
        <v/>
      </c>
      <c r="AZ67" s="48">
        <f>AY67*(1+AZ$10)*(1-AZ$11)*IF(MOD((AZ$7-37),12)=0,IF((AZ$7-37)=12,AZ$12,AZ$13)*(1+AZ$14),1)</f>
        <v/>
      </c>
      <c r="BA67" s="48">
        <f>AZ67*(1+BA$10)*(1-BA$11)*IF(MOD((BA$7-37),12)=0,IF((BA$7-37)=12,BA$12,BA$13)*(1+BA$14),1)</f>
        <v/>
      </c>
      <c r="BB67" s="48">
        <f>BA67*(1+BB$10)*(1-BB$11)*IF(MOD((BB$7-37),12)=0,IF((BB$7-37)=12,BB$12,BB$13)*(1+BB$14),1)</f>
        <v/>
      </c>
      <c r="BC67" s="48">
        <f>BB67*(1+BC$10)*(1-BC$11)*IF(MOD((BC$7-37),12)=0,IF((BC$7-37)=12,BC$12,BC$13)*(1+BC$14),1)</f>
        <v/>
      </c>
      <c r="BD67" s="48">
        <f>BC67*(1+BD$10)*(1-BD$11)*IF(MOD((BD$7-37),12)=0,IF((BD$7-37)=12,BD$12,BD$13)*(1+BD$14),1)</f>
        <v/>
      </c>
      <c r="BE67" s="48">
        <f>BD67*(1+BE$10)*(1-BE$11)*IF(MOD((BE$7-37),12)=0,IF((BE$7-37)=12,BE$12,BE$13)*(1+BE$14),1)</f>
        <v/>
      </c>
      <c r="BF67" s="48">
        <f>BE67*(1+BF$10)*(1-BF$11)*IF(MOD((BF$7-37),12)=0,IF((BF$7-37)=12,BF$12,BF$13)*(1+BF$14),1)</f>
        <v/>
      </c>
      <c r="BG67" s="48">
        <f>BF67*(1+BG$10)*(1-BG$11)*IF(MOD((BG$7-37),12)=0,IF((BG$7-37)=12,BG$12,BG$13)*(1+BG$14),1)</f>
        <v/>
      </c>
      <c r="BH67" s="48">
        <f>BG67*(1+BH$10)*(1-BH$11)*IF(MOD((BH$7-37),12)=0,IF((BH$7-37)=12,BH$12,BH$13)*(1+BH$14),1)</f>
        <v/>
      </c>
      <c r="BI67" s="48">
        <f>BH67*(1+BI$10)*(1-BI$11)*IF(MOD((BI$7-37),12)=0,IF((BI$7-37)=12,BI$12,BI$13)*(1+BI$14),1)</f>
        <v/>
      </c>
      <c r="BJ67" s="48">
        <f>BI67*(1+BJ$10)*(1-BJ$11)*IF(MOD((BJ$7-37),12)=0,IF((BJ$7-37)=12,BJ$12,BJ$13)*(1+BJ$14),1)</f>
        <v/>
      </c>
      <c r="BK67" s="48">
        <f>BJ67*(1+BK$10)*(1-BK$11)*IF(MOD((BK$7-37),12)=0,IF((BK$7-37)=12,BK$12,BK$13)*(1+BK$14),1)</f>
        <v/>
      </c>
    </row>
    <row r="68" hidden="1" outlineLevel="1">
      <c r="B68" s="18" t="inlineStr">
        <is>
          <t xml:space="preserve">    Cohort Feb-29</t>
        </is>
      </c>
      <c r="C68" s="19" t="inlineStr">
        <is>
          <t>$</t>
        </is>
      </c>
      <c r="D68" s="48">
        <f>0</f>
        <v/>
      </c>
      <c r="E68" s="48">
        <f>0</f>
        <v/>
      </c>
      <c r="F68" s="48">
        <f>0</f>
        <v/>
      </c>
      <c r="G68" s="48">
        <f>0</f>
        <v/>
      </c>
      <c r="H68" s="48">
        <f>0</f>
        <v/>
      </c>
      <c r="I68" s="48">
        <f>0</f>
        <v/>
      </c>
      <c r="J68" s="48">
        <f>0</f>
        <v/>
      </c>
      <c r="K68" s="48">
        <f>0</f>
        <v/>
      </c>
      <c r="L68" s="48">
        <f>0</f>
        <v/>
      </c>
      <c r="M68" s="48">
        <f>0</f>
        <v/>
      </c>
      <c r="N68" s="48">
        <f>0</f>
        <v/>
      </c>
      <c r="O68" s="48">
        <f>0</f>
        <v/>
      </c>
      <c r="P68" s="48">
        <f>0</f>
        <v/>
      </c>
      <c r="Q68" s="48">
        <f>0</f>
        <v/>
      </c>
      <c r="R68" s="48">
        <f>0</f>
        <v/>
      </c>
      <c r="S68" s="48">
        <f>0</f>
        <v/>
      </c>
      <c r="T68" s="48">
        <f>0</f>
        <v/>
      </c>
      <c r="U68" s="48">
        <f>0</f>
        <v/>
      </c>
      <c r="V68" s="48">
        <f>0</f>
        <v/>
      </c>
      <c r="W68" s="48">
        <f>0</f>
        <v/>
      </c>
      <c r="X68" s="48">
        <f>0</f>
        <v/>
      </c>
      <c r="Y68" s="48">
        <f>0</f>
        <v/>
      </c>
      <c r="Z68" s="48">
        <f>0</f>
        <v/>
      </c>
      <c r="AA68" s="48">
        <f>0</f>
        <v/>
      </c>
      <c r="AB68" s="48">
        <f>0</f>
        <v/>
      </c>
      <c r="AC68" s="48">
        <f>0</f>
        <v/>
      </c>
      <c r="AD68" s="48">
        <f>0</f>
        <v/>
      </c>
      <c r="AE68" s="48">
        <f>0</f>
        <v/>
      </c>
      <c r="AF68" s="48">
        <f>0</f>
        <v/>
      </c>
      <c r="AG68" s="48">
        <f>0</f>
        <v/>
      </c>
      <c r="AH68" s="48">
        <f>0</f>
        <v/>
      </c>
      <c r="AI68" s="48">
        <f>0</f>
        <v/>
      </c>
      <c r="AJ68" s="48">
        <f>0</f>
        <v/>
      </c>
      <c r="AK68" s="48">
        <f>0</f>
        <v/>
      </c>
      <c r="AL68" s="48">
        <f>0</f>
        <v/>
      </c>
      <c r="AM68" s="48">
        <f>0</f>
        <v/>
      </c>
      <c r="AN68" s="48">
        <f>0</f>
        <v/>
      </c>
      <c r="AO68" s="48">
        <f>'Rev-Capacity'!AO29</f>
        <v/>
      </c>
      <c r="AP68" s="48">
        <f>AO68*(1+AP$10)*(1-AP$11)*IF(MOD((AP$7-38),12)=0,IF((AP$7-38)=12,AP$12,AP$13)*(1+AP$14),1)</f>
        <v/>
      </c>
      <c r="AQ68" s="48">
        <f>AP68*(1+AQ$10)*(1-AQ$11)*IF(MOD((AQ$7-38),12)=0,IF((AQ$7-38)=12,AQ$12,AQ$13)*(1+AQ$14),1)</f>
        <v/>
      </c>
      <c r="AR68" s="48">
        <f>AQ68*(1+AR$10)*(1-AR$11)*IF(MOD((AR$7-38),12)=0,IF((AR$7-38)=12,AR$12,AR$13)*(1+AR$14),1)</f>
        <v/>
      </c>
      <c r="AS68" s="48">
        <f>AR68*(1+AS$10)*(1-AS$11)*IF(MOD((AS$7-38),12)=0,IF((AS$7-38)=12,AS$12,AS$13)*(1+AS$14),1)</f>
        <v/>
      </c>
      <c r="AT68" s="48">
        <f>AS68*(1+AT$10)*(1-AT$11)*IF(MOD((AT$7-38),12)=0,IF((AT$7-38)=12,AT$12,AT$13)*(1+AT$14),1)</f>
        <v/>
      </c>
      <c r="AU68" s="48">
        <f>AT68*(1+AU$10)*(1-AU$11)*IF(MOD((AU$7-38),12)=0,IF((AU$7-38)=12,AU$12,AU$13)*(1+AU$14),1)</f>
        <v/>
      </c>
      <c r="AV68" s="48">
        <f>AU68*(1+AV$10)*(1-AV$11)*IF(MOD((AV$7-38),12)=0,IF((AV$7-38)=12,AV$12,AV$13)*(1+AV$14),1)</f>
        <v/>
      </c>
      <c r="AW68" s="48">
        <f>AV68*(1+AW$10)*(1-AW$11)*IF(MOD((AW$7-38),12)=0,IF((AW$7-38)=12,AW$12,AW$13)*(1+AW$14),1)</f>
        <v/>
      </c>
      <c r="AX68" s="48">
        <f>AW68*(1+AX$10)*(1-AX$11)*IF(MOD((AX$7-38),12)=0,IF((AX$7-38)=12,AX$12,AX$13)*(1+AX$14),1)</f>
        <v/>
      </c>
      <c r="AY68" s="48">
        <f>AX68*(1+AY$10)*(1-AY$11)*IF(MOD((AY$7-38),12)=0,IF((AY$7-38)=12,AY$12,AY$13)*(1+AY$14),1)</f>
        <v/>
      </c>
      <c r="AZ68" s="48">
        <f>AY68*(1+AZ$10)*(1-AZ$11)*IF(MOD((AZ$7-38),12)=0,IF((AZ$7-38)=12,AZ$12,AZ$13)*(1+AZ$14),1)</f>
        <v/>
      </c>
      <c r="BA68" s="48">
        <f>AZ68*(1+BA$10)*(1-BA$11)*IF(MOD((BA$7-38),12)=0,IF((BA$7-38)=12,BA$12,BA$13)*(1+BA$14),1)</f>
        <v/>
      </c>
      <c r="BB68" s="48">
        <f>BA68*(1+BB$10)*(1-BB$11)*IF(MOD((BB$7-38),12)=0,IF((BB$7-38)=12,BB$12,BB$13)*(1+BB$14),1)</f>
        <v/>
      </c>
      <c r="BC68" s="48">
        <f>BB68*(1+BC$10)*(1-BC$11)*IF(MOD((BC$7-38),12)=0,IF((BC$7-38)=12,BC$12,BC$13)*(1+BC$14),1)</f>
        <v/>
      </c>
      <c r="BD68" s="48">
        <f>BC68*(1+BD$10)*(1-BD$11)*IF(MOD((BD$7-38),12)=0,IF((BD$7-38)=12,BD$12,BD$13)*(1+BD$14),1)</f>
        <v/>
      </c>
      <c r="BE68" s="48">
        <f>BD68*(1+BE$10)*(1-BE$11)*IF(MOD((BE$7-38),12)=0,IF((BE$7-38)=12,BE$12,BE$13)*(1+BE$14),1)</f>
        <v/>
      </c>
      <c r="BF68" s="48">
        <f>BE68*(1+BF$10)*(1-BF$11)*IF(MOD((BF$7-38),12)=0,IF((BF$7-38)=12,BF$12,BF$13)*(1+BF$14),1)</f>
        <v/>
      </c>
      <c r="BG68" s="48">
        <f>BF68*(1+BG$10)*(1-BG$11)*IF(MOD((BG$7-38),12)=0,IF((BG$7-38)=12,BG$12,BG$13)*(1+BG$14),1)</f>
        <v/>
      </c>
      <c r="BH68" s="48">
        <f>BG68*(1+BH$10)*(1-BH$11)*IF(MOD((BH$7-38),12)=0,IF((BH$7-38)=12,BH$12,BH$13)*(1+BH$14),1)</f>
        <v/>
      </c>
      <c r="BI68" s="48">
        <f>BH68*(1+BI$10)*(1-BI$11)*IF(MOD((BI$7-38),12)=0,IF((BI$7-38)=12,BI$12,BI$13)*(1+BI$14),1)</f>
        <v/>
      </c>
      <c r="BJ68" s="48">
        <f>BI68*(1+BJ$10)*(1-BJ$11)*IF(MOD((BJ$7-38),12)=0,IF((BJ$7-38)=12,BJ$12,BJ$13)*(1+BJ$14),1)</f>
        <v/>
      </c>
      <c r="BK68" s="48">
        <f>BJ68*(1+BK$10)*(1-BK$11)*IF(MOD((BK$7-38),12)=0,IF((BK$7-38)=12,BK$12,BK$13)*(1+BK$14),1)</f>
        <v/>
      </c>
    </row>
    <row r="69" hidden="1" outlineLevel="1">
      <c r="B69" s="18" t="inlineStr">
        <is>
          <t xml:space="preserve">    Cohort Mar-29</t>
        </is>
      </c>
      <c r="C69" s="19" t="inlineStr">
        <is>
          <t>$</t>
        </is>
      </c>
      <c r="D69" s="48">
        <f>0</f>
        <v/>
      </c>
      <c r="E69" s="48">
        <f>0</f>
        <v/>
      </c>
      <c r="F69" s="48">
        <f>0</f>
        <v/>
      </c>
      <c r="G69" s="48">
        <f>0</f>
        <v/>
      </c>
      <c r="H69" s="48">
        <f>0</f>
        <v/>
      </c>
      <c r="I69" s="48">
        <f>0</f>
        <v/>
      </c>
      <c r="J69" s="48">
        <f>0</f>
        <v/>
      </c>
      <c r="K69" s="48">
        <f>0</f>
        <v/>
      </c>
      <c r="L69" s="48">
        <f>0</f>
        <v/>
      </c>
      <c r="M69" s="48">
        <f>0</f>
        <v/>
      </c>
      <c r="N69" s="48">
        <f>0</f>
        <v/>
      </c>
      <c r="O69" s="48">
        <f>0</f>
        <v/>
      </c>
      <c r="P69" s="48">
        <f>0</f>
        <v/>
      </c>
      <c r="Q69" s="48">
        <f>0</f>
        <v/>
      </c>
      <c r="R69" s="48">
        <f>0</f>
        <v/>
      </c>
      <c r="S69" s="48">
        <f>0</f>
        <v/>
      </c>
      <c r="T69" s="48">
        <f>0</f>
        <v/>
      </c>
      <c r="U69" s="48">
        <f>0</f>
        <v/>
      </c>
      <c r="V69" s="48">
        <f>0</f>
        <v/>
      </c>
      <c r="W69" s="48">
        <f>0</f>
        <v/>
      </c>
      <c r="X69" s="48">
        <f>0</f>
        <v/>
      </c>
      <c r="Y69" s="48">
        <f>0</f>
        <v/>
      </c>
      <c r="Z69" s="48">
        <f>0</f>
        <v/>
      </c>
      <c r="AA69" s="48">
        <f>0</f>
        <v/>
      </c>
      <c r="AB69" s="48">
        <f>0</f>
        <v/>
      </c>
      <c r="AC69" s="48">
        <f>0</f>
        <v/>
      </c>
      <c r="AD69" s="48">
        <f>0</f>
        <v/>
      </c>
      <c r="AE69" s="48">
        <f>0</f>
        <v/>
      </c>
      <c r="AF69" s="48">
        <f>0</f>
        <v/>
      </c>
      <c r="AG69" s="48">
        <f>0</f>
        <v/>
      </c>
      <c r="AH69" s="48">
        <f>0</f>
        <v/>
      </c>
      <c r="AI69" s="48">
        <f>0</f>
        <v/>
      </c>
      <c r="AJ69" s="48">
        <f>0</f>
        <v/>
      </c>
      <c r="AK69" s="48">
        <f>0</f>
        <v/>
      </c>
      <c r="AL69" s="48">
        <f>0</f>
        <v/>
      </c>
      <c r="AM69" s="48">
        <f>0</f>
        <v/>
      </c>
      <c r="AN69" s="48">
        <f>0</f>
        <v/>
      </c>
      <c r="AO69" s="48">
        <f>0</f>
        <v/>
      </c>
      <c r="AP69" s="48">
        <f>'Rev-Capacity'!AP29</f>
        <v/>
      </c>
      <c r="AQ69" s="48">
        <f>AP69*(1+AQ$10)*(1-AQ$11)*IF(MOD((AQ$7-39),12)=0,IF((AQ$7-39)=12,AQ$12,AQ$13)*(1+AQ$14),1)</f>
        <v/>
      </c>
      <c r="AR69" s="48">
        <f>AQ69*(1+AR$10)*(1-AR$11)*IF(MOD((AR$7-39),12)=0,IF((AR$7-39)=12,AR$12,AR$13)*(1+AR$14),1)</f>
        <v/>
      </c>
      <c r="AS69" s="48">
        <f>AR69*(1+AS$10)*(1-AS$11)*IF(MOD((AS$7-39),12)=0,IF((AS$7-39)=12,AS$12,AS$13)*(1+AS$14),1)</f>
        <v/>
      </c>
      <c r="AT69" s="48">
        <f>AS69*(1+AT$10)*(1-AT$11)*IF(MOD((AT$7-39),12)=0,IF((AT$7-39)=12,AT$12,AT$13)*(1+AT$14),1)</f>
        <v/>
      </c>
      <c r="AU69" s="48">
        <f>AT69*(1+AU$10)*(1-AU$11)*IF(MOD((AU$7-39),12)=0,IF((AU$7-39)=12,AU$12,AU$13)*(1+AU$14),1)</f>
        <v/>
      </c>
      <c r="AV69" s="48">
        <f>AU69*(1+AV$10)*(1-AV$11)*IF(MOD((AV$7-39),12)=0,IF((AV$7-39)=12,AV$12,AV$13)*(1+AV$14),1)</f>
        <v/>
      </c>
      <c r="AW69" s="48">
        <f>AV69*(1+AW$10)*(1-AW$11)*IF(MOD((AW$7-39),12)=0,IF((AW$7-39)=12,AW$12,AW$13)*(1+AW$14),1)</f>
        <v/>
      </c>
      <c r="AX69" s="48">
        <f>AW69*(1+AX$10)*(1-AX$11)*IF(MOD((AX$7-39),12)=0,IF((AX$7-39)=12,AX$12,AX$13)*(1+AX$14),1)</f>
        <v/>
      </c>
      <c r="AY69" s="48">
        <f>AX69*(1+AY$10)*(1-AY$11)*IF(MOD((AY$7-39),12)=0,IF((AY$7-39)=12,AY$12,AY$13)*(1+AY$14),1)</f>
        <v/>
      </c>
      <c r="AZ69" s="48">
        <f>AY69*(1+AZ$10)*(1-AZ$11)*IF(MOD((AZ$7-39),12)=0,IF((AZ$7-39)=12,AZ$12,AZ$13)*(1+AZ$14),1)</f>
        <v/>
      </c>
      <c r="BA69" s="48">
        <f>AZ69*(1+BA$10)*(1-BA$11)*IF(MOD((BA$7-39),12)=0,IF((BA$7-39)=12,BA$12,BA$13)*(1+BA$14),1)</f>
        <v/>
      </c>
      <c r="BB69" s="48">
        <f>BA69*(1+BB$10)*(1-BB$11)*IF(MOD((BB$7-39),12)=0,IF((BB$7-39)=12,BB$12,BB$13)*(1+BB$14),1)</f>
        <v/>
      </c>
      <c r="BC69" s="48">
        <f>BB69*(1+BC$10)*(1-BC$11)*IF(MOD((BC$7-39),12)=0,IF((BC$7-39)=12,BC$12,BC$13)*(1+BC$14),1)</f>
        <v/>
      </c>
      <c r="BD69" s="48">
        <f>BC69*(1+BD$10)*(1-BD$11)*IF(MOD((BD$7-39),12)=0,IF((BD$7-39)=12,BD$12,BD$13)*(1+BD$14),1)</f>
        <v/>
      </c>
      <c r="BE69" s="48">
        <f>BD69*(1+BE$10)*(1-BE$11)*IF(MOD((BE$7-39),12)=0,IF((BE$7-39)=12,BE$12,BE$13)*(1+BE$14),1)</f>
        <v/>
      </c>
      <c r="BF69" s="48">
        <f>BE69*(1+BF$10)*(1-BF$11)*IF(MOD((BF$7-39),12)=0,IF((BF$7-39)=12,BF$12,BF$13)*(1+BF$14),1)</f>
        <v/>
      </c>
      <c r="BG69" s="48">
        <f>BF69*(1+BG$10)*(1-BG$11)*IF(MOD((BG$7-39),12)=0,IF((BG$7-39)=12,BG$12,BG$13)*(1+BG$14),1)</f>
        <v/>
      </c>
      <c r="BH69" s="48">
        <f>BG69*(1+BH$10)*(1-BH$11)*IF(MOD((BH$7-39),12)=0,IF((BH$7-39)=12,BH$12,BH$13)*(1+BH$14),1)</f>
        <v/>
      </c>
      <c r="BI69" s="48">
        <f>BH69*(1+BI$10)*(1-BI$11)*IF(MOD((BI$7-39),12)=0,IF((BI$7-39)=12,BI$12,BI$13)*(1+BI$14),1)</f>
        <v/>
      </c>
      <c r="BJ69" s="48">
        <f>BI69*(1+BJ$10)*(1-BJ$11)*IF(MOD((BJ$7-39),12)=0,IF((BJ$7-39)=12,BJ$12,BJ$13)*(1+BJ$14),1)</f>
        <v/>
      </c>
      <c r="BK69" s="48">
        <f>BJ69*(1+BK$10)*(1-BK$11)*IF(MOD((BK$7-39),12)=0,IF((BK$7-39)=12,BK$12,BK$13)*(1+BK$14),1)</f>
        <v/>
      </c>
    </row>
    <row r="70" hidden="1" outlineLevel="1">
      <c r="B70" s="18" t="inlineStr">
        <is>
          <t xml:space="preserve">    Cohort Apr-29</t>
        </is>
      </c>
      <c r="C70" s="19" t="inlineStr">
        <is>
          <t>$</t>
        </is>
      </c>
      <c r="D70" s="48">
        <f>0</f>
        <v/>
      </c>
      <c r="E70" s="48">
        <f>0</f>
        <v/>
      </c>
      <c r="F70" s="48">
        <f>0</f>
        <v/>
      </c>
      <c r="G70" s="48">
        <f>0</f>
        <v/>
      </c>
      <c r="H70" s="48">
        <f>0</f>
        <v/>
      </c>
      <c r="I70" s="48">
        <f>0</f>
        <v/>
      </c>
      <c r="J70" s="48">
        <f>0</f>
        <v/>
      </c>
      <c r="K70" s="48">
        <f>0</f>
        <v/>
      </c>
      <c r="L70" s="48">
        <f>0</f>
        <v/>
      </c>
      <c r="M70" s="48">
        <f>0</f>
        <v/>
      </c>
      <c r="N70" s="48">
        <f>0</f>
        <v/>
      </c>
      <c r="O70" s="48">
        <f>0</f>
        <v/>
      </c>
      <c r="P70" s="48">
        <f>0</f>
        <v/>
      </c>
      <c r="Q70" s="48">
        <f>0</f>
        <v/>
      </c>
      <c r="R70" s="48">
        <f>0</f>
        <v/>
      </c>
      <c r="S70" s="48">
        <f>0</f>
        <v/>
      </c>
      <c r="T70" s="48">
        <f>0</f>
        <v/>
      </c>
      <c r="U70" s="48">
        <f>0</f>
        <v/>
      </c>
      <c r="V70" s="48">
        <f>0</f>
        <v/>
      </c>
      <c r="W70" s="48">
        <f>0</f>
        <v/>
      </c>
      <c r="X70" s="48">
        <f>0</f>
        <v/>
      </c>
      <c r="Y70" s="48">
        <f>0</f>
        <v/>
      </c>
      <c r="Z70" s="48">
        <f>0</f>
        <v/>
      </c>
      <c r="AA70" s="48">
        <f>0</f>
        <v/>
      </c>
      <c r="AB70" s="48">
        <f>0</f>
        <v/>
      </c>
      <c r="AC70" s="48">
        <f>0</f>
        <v/>
      </c>
      <c r="AD70" s="48">
        <f>0</f>
        <v/>
      </c>
      <c r="AE70" s="48">
        <f>0</f>
        <v/>
      </c>
      <c r="AF70" s="48">
        <f>0</f>
        <v/>
      </c>
      <c r="AG70" s="48">
        <f>0</f>
        <v/>
      </c>
      <c r="AH70" s="48">
        <f>0</f>
        <v/>
      </c>
      <c r="AI70" s="48">
        <f>0</f>
        <v/>
      </c>
      <c r="AJ70" s="48">
        <f>0</f>
        <v/>
      </c>
      <c r="AK70" s="48">
        <f>0</f>
        <v/>
      </c>
      <c r="AL70" s="48">
        <f>0</f>
        <v/>
      </c>
      <c r="AM70" s="48">
        <f>0</f>
        <v/>
      </c>
      <c r="AN70" s="48">
        <f>0</f>
        <v/>
      </c>
      <c r="AO70" s="48">
        <f>0</f>
        <v/>
      </c>
      <c r="AP70" s="48">
        <f>0</f>
        <v/>
      </c>
      <c r="AQ70" s="48">
        <f>'Rev-Capacity'!AQ29</f>
        <v/>
      </c>
      <c r="AR70" s="48">
        <f>AQ70*(1+AR$10)*(1-AR$11)*IF(MOD((AR$7-40),12)=0,IF((AR$7-40)=12,AR$12,AR$13)*(1+AR$14),1)</f>
        <v/>
      </c>
      <c r="AS70" s="48">
        <f>AR70*(1+AS$10)*(1-AS$11)*IF(MOD((AS$7-40),12)=0,IF((AS$7-40)=12,AS$12,AS$13)*(1+AS$14),1)</f>
        <v/>
      </c>
      <c r="AT70" s="48">
        <f>AS70*(1+AT$10)*(1-AT$11)*IF(MOD((AT$7-40),12)=0,IF((AT$7-40)=12,AT$12,AT$13)*(1+AT$14),1)</f>
        <v/>
      </c>
      <c r="AU70" s="48">
        <f>AT70*(1+AU$10)*(1-AU$11)*IF(MOD((AU$7-40),12)=0,IF((AU$7-40)=12,AU$12,AU$13)*(1+AU$14),1)</f>
        <v/>
      </c>
      <c r="AV70" s="48">
        <f>AU70*(1+AV$10)*(1-AV$11)*IF(MOD((AV$7-40),12)=0,IF((AV$7-40)=12,AV$12,AV$13)*(1+AV$14),1)</f>
        <v/>
      </c>
      <c r="AW70" s="48">
        <f>AV70*(1+AW$10)*(1-AW$11)*IF(MOD((AW$7-40),12)=0,IF((AW$7-40)=12,AW$12,AW$13)*(1+AW$14),1)</f>
        <v/>
      </c>
      <c r="AX70" s="48">
        <f>AW70*(1+AX$10)*(1-AX$11)*IF(MOD((AX$7-40),12)=0,IF((AX$7-40)=12,AX$12,AX$13)*(1+AX$14),1)</f>
        <v/>
      </c>
      <c r="AY70" s="48">
        <f>AX70*(1+AY$10)*(1-AY$11)*IF(MOD((AY$7-40),12)=0,IF((AY$7-40)=12,AY$12,AY$13)*(1+AY$14),1)</f>
        <v/>
      </c>
      <c r="AZ70" s="48">
        <f>AY70*(1+AZ$10)*(1-AZ$11)*IF(MOD((AZ$7-40),12)=0,IF((AZ$7-40)=12,AZ$12,AZ$13)*(1+AZ$14),1)</f>
        <v/>
      </c>
      <c r="BA70" s="48">
        <f>AZ70*(1+BA$10)*(1-BA$11)*IF(MOD((BA$7-40),12)=0,IF((BA$7-40)=12,BA$12,BA$13)*(1+BA$14),1)</f>
        <v/>
      </c>
      <c r="BB70" s="48">
        <f>BA70*(1+BB$10)*(1-BB$11)*IF(MOD((BB$7-40),12)=0,IF((BB$7-40)=12,BB$12,BB$13)*(1+BB$14),1)</f>
        <v/>
      </c>
      <c r="BC70" s="48">
        <f>BB70*(1+BC$10)*(1-BC$11)*IF(MOD((BC$7-40),12)=0,IF((BC$7-40)=12,BC$12,BC$13)*(1+BC$14),1)</f>
        <v/>
      </c>
      <c r="BD70" s="48">
        <f>BC70*(1+BD$10)*(1-BD$11)*IF(MOD((BD$7-40),12)=0,IF((BD$7-40)=12,BD$12,BD$13)*(1+BD$14),1)</f>
        <v/>
      </c>
      <c r="BE70" s="48">
        <f>BD70*(1+BE$10)*(1-BE$11)*IF(MOD((BE$7-40),12)=0,IF((BE$7-40)=12,BE$12,BE$13)*(1+BE$14),1)</f>
        <v/>
      </c>
      <c r="BF70" s="48">
        <f>BE70*(1+BF$10)*(1-BF$11)*IF(MOD((BF$7-40),12)=0,IF((BF$7-40)=12,BF$12,BF$13)*(1+BF$14),1)</f>
        <v/>
      </c>
      <c r="BG70" s="48">
        <f>BF70*(1+BG$10)*(1-BG$11)*IF(MOD((BG$7-40),12)=0,IF((BG$7-40)=12,BG$12,BG$13)*(1+BG$14),1)</f>
        <v/>
      </c>
      <c r="BH70" s="48">
        <f>BG70*(1+BH$10)*(1-BH$11)*IF(MOD((BH$7-40),12)=0,IF((BH$7-40)=12,BH$12,BH$13)*(1+BH$14),1)</f>
        <v/>
      </c>
      <c r="BI70" s="48">
        <f>BH70*(1+BI$10)*(1-BI$11)*IF(MOD((BI$7-40),12)=0,IF((BI$7-40)=12,BI$12,BI$13)*(1+BI$14),1)</f>
        <v/>
      </c>
      <c r="BJ70" s="48">
        <f>BI70*(1+BJ$10)*(1-BJ$11)*IF(MOD((BJ$7-40),12)=0,IF((BJ$7-40)=12,BJ$12,BJ$13)*(1+BJ$14),1)</f>
        <v/>
      </c>
      <c r="BK70" s="48">
        <f>BJ70*(1+BK$10)*(1-BK$11)*IF(MOD((BK$7-40),12)=0,IF((BK$7-40)=12,BK$12,BK$13)*(1+BK$14),1)</f>
        <v/>
      </c>
    </row>
    <row r="71" hidden="1" outlineLevel="1">
      <c r="B71" s="18" t="inlineStr">
        <is>
          <t xml:space="preserve">    Cohort May-29</t>
        </is>
      </c>
      <c r="C71" s="19" t="inlineStr">
        <is>
          <t>$</t>
        </is>
      </c>
      <c r="D71" s="48">
        <f>0</f>
        <v/>
      </c>
      <c r="E71" s="48">
        <f>0</f>
        <v/>
      </c>
      <c r="F71" s="48">
        <f>0</f>
        <v/>
      </c>
      <c r="G71" s="48">
        <f>0</f>
        <v/>
      </c>
      <c r="H71" s="48">
        <f>0</f>
        <v/>
      </c>
      <c r="I71" s="48">
        <f>0</f>
        <v/>
      </c>
      <c r="J71" s="48">
        <f>0</f>
        <v/>
      </c>
      <c r="K71" s="48">
        <f>0</f>
        <v/>
      </c>
      <c r="L71" s="48">
        <f>0</f>
        <v/>
      </c>
      <c r="M71" s="48">
        <f>0</f>
        <v/>
      </c>
      <c r="N71" s="48">
        <f>0</f>
        <v/>
      </c>
      <c r="O71" s="48">
        <f>0</f>
        <v/>
      </c>
      <c r="P71" s="48">
        <f>0</f>
        <v/>
      </c>
      <c r="Q71" s="48">
        <f>0</f>
        <v/>
      </c>
      <c r="R71" s="48">
        <f>0</f>
        <v/>
      </c>
      <c r="S71" s="48">
        <f>0</f>
        <v/>
      </c>
      <c r="T71" s="48">
        <f>0</f>
        <v/>
      </c>
      <c r="U71" s="48">
        <f>0</f>
        <v/>
      </c>
      <c r="V71" s="48">
        <f>0</f>
        <v/>
      </c>
      <c r="W71" s="48">
        <f>0</f>
        <v/>
      </c>
      <c r="X71" s="48">
        <f>0</f>
        <v/>
      </c>
      <c r="Y71" s="48">
        <f>0</f>
        <v/>
      </c>
      <c r="Z71" s="48">
        <f>0</f>
        <v/>
      </c>
      <c r="AA71" s="48">
        <f>0</f>
        <v/>
      </c>
      <c r="AB71" s="48">
        <f>0</f>
        <v/>
      </c>
      <c r="AC71" s="48">
        <f>0</f>
        <v/>
      </c>
      <c r="AD71" s="48">
        <f>0</f>
        <v/>
      </c>
      <c r="AE71" s="48">
        <f>0</f>
        <v/>
      </c>
      <c r="AF71" s="48">
        <f>0</f>
        <v/>
      </c>
      <c r="AG71" s="48">
        <f>0</f>
        <v/>
      </c>
      <c r="AH71" s="48">
        <f>0</f>
        <v/>
      </c>
      <c r="AI71" s="48">
        <f>0</f>
        <v/>
      </c>
      <c r="AJ71" s="48">
        <f>0</f>
        <v/>
      </c>
      <c r="AK71" s="48">
        <f>0</f>
        <v/>
      </c>
      <c r="AL71" s="48">
        <f>0</f>
        <v/>
      </c>
      <c r="AM71" s="48">
        <f>0</f>
        <v/>
      </c>
      <c r="AN71" s="48">
        <f>0</f>
        <v/>
      </c>
      <c r="AO71" s="48">
        <f>0</f>
        <v/>
      </c>
      <c r="AP71" s="48">
        <f>0</f>
        <v/>
      </c>
      <c r="AQ71" s="48">
        <f>0</f>
        <v/>
      </c>
      <c r="AR71" s="48">
        <f>'Rev-Capacity'!AR29</f>
        <v/>
      </c>
      <c r="AS71" s="48">
        <f>AR71*(1+AS$10)*(1-AS$11)*IF(MOD((AS$7-41),12)=0,IF((AS$7-41)=12,AS$12,AS$13)*(1+AS$14),1)</f>
        <v/>
      </c>
      <c r="AT71" s="48">
        <f>AS71*(1+AT$10)*(1-AT$11)*IF(MOD((AT$7-41),12)=0,IF((AT$7-41)=12,AT$12,AT$13)*(1+AT$14),1)</f>
        <v/>
      </c>
      <c r="AU71" s="48">
        <f>AT71*(1+AU$10)*(1-AU$11)*IF(MOD((AU$7-41),12)=0,IF((AU$7-41)=12,AU$12,AU$13)*(1+AU$14),1)</f>
        <v/>
      </c>
      <c r="AV71" s="48">
        <f>AU71*(1+AV$10)*(1-AV$11)*IF(MOD((AV$7-41),12)=0,IF((AV$7-41)=12,AV$12,AV$13)*(1+AV$14),1)</f>
        <v/>
      </c>
      <c r="AW71" s="48">
        <f>AV71*(1+AW$10)*(1-AW$11)*IF(MOD((AW$7-41),12)=0,IF((AW$7-41)=12,AW$12,AW$13)*(1+AW$14),1)</f>
        <v/>
      </c>
      <c r="AX71" s="48">
        <f>AW71*(1+AX$10)*(1-AX$11)*IF(MOD((AX$7-41),12)=0,IF((AX$7-41)=12,AX$12,AX$13)*(1+AX$14),1)</f>
        <v/>
      </c>
      <c r="AY71" s="48">
        <f>AX71*(1+AY$10)*(1-AY$11)*IF(MOD((AY$7-41),12)=0,IF((AY$7-41)=12,AY$12,AY$13)*(1+AY$14),1)</f>
        <v/>
      </c>
      <c r="AZ71" s="48">
        <f>AY71*(1+AZ$10)*(1-AZ$11)*IF(MOD((AZ$7-41),12)=0,IF((AZ$7-41)=12,AZ$12,AZ$13)*(1+AZ$14),1)</f>
        <v/>
      </c>
      <c r="BA71" s="48">
        <f>AZ71*(1+BA$10)*(1-BA$11)*IF(MOD((BA$7-41),12)=0,IF((BA$7-41)=12,BA$12,BA$13)*(1+BA$14),1)</f>
        <v/>
      </c>
      <c r="BB71" s="48">
        <f>BA71*(1+BB$10)*(1-BB$11)*IF(MOD((BB$7-41),12)=0,IF((BB$7-41)=12,BB$12,BB$13)*(1+BB$14),1)</f>
        <v/>
      </c>
      <c r="BC71" s="48">
        <f>BB71*(1+BC$10)*(1-BC$11)*IF(MOD((BC$7-41),12)=0,IF((BC$7-41)=12,BC$12,BC$13)*(1+BC$14),1)</f>
        <v/>
      </c>
      <c r="BD71" s="48">
        <f>BC71*(1+BD$10)*(1-BD$11)*IF(MOD((BD$7-41),12)=0,IF((BD$7-41)=12,BD$12,BD$13)*(1+BD$14),1)</f>
        <v/>
      </c>
      <c r="BE71" s="48">
        <f>BD71*(1+BE$10)*(1-BE$11)*IF(MOD((BE$7-41),12)=0,IF((BE$7-41)=12,BE$12,BE$13)*(1+BE$14),1)</f>
        <v/>
      </c>
      <c r="BF71" s="48">
        <f>BE71*(1+BF$10)*(1-BF$11)*IF(MOD((BF$7-41),12)=0,IF((BF$7-41)=12,BF$12,BF$13)*(1+BF$14),1)</f>
        <v/>
      </c>
      <c r="BG71" s="48">
        <f>BF71*(1+BG$10)*(1-BG$11)*IF(MOD((BG$7-41),12)=0,IF((BG$7-41)=12,BG$12,BG$13)*(1+BG$14),1)</f>
        <v/>
      </c>
      <c r="BH71" s="48">
        <f>BG71*(1+BH$10)*(1-BH$11)*IF(MOD((BH$7-41),12)=0,IF((BH$7-41)=12,BH$12,BH$13)*(1+BH$14),1)</f>
        <v/>
      </c>
      <c r="BI71" s="48">
        <f>BH71*(1+BI$10)*(1-BI$11)*IF(MOD((BI$7-41),12)=0,IF((BI$7-41)=12,BI$12,BI$13)*(1+BI$14),1)</f>
        <v/>
      </c>
      <c r="BJ71" s="48">
        <f>BI71*(1+BJ$10)*(1-BJ$11)*IF(MOD((BJ$7-41),12)=0,IF((BJ$7-41)=12,BJ$12,BJ$13)*(1+BJ$14),1)</f>
        <v/>
      </c>
      <c r="BK71" s="48">
        <f>BJ71*(1+BK$10)*(1-BK$11)*IF(MOD((BK$7-41),12)=0,IF((BK$7-41)=12,BK$12,BK$13)*(1+BK$14),1)</f>
        <v/>
      </c>
    </row>
    <row r="72" hidden="1" outlineLevel="1">
      <c r="B72" s="18" t="inlineStr">
        <is>
          <t xml:space="preserve">    Cohort Jun-29</t>
        </is>
      </c>
      <c r="C72" s="19" t="inlineStr">
        <is>
          <t>$</t>
        </is>
      </c>
      <c r="D72" s="48">
        <f>0</f>
        <v/>
      </c>
      <c r="E72" s="48">
        <f>0</f>
        <v/>
      </c>
      <c r="F72" s="48">
        <f>0</f>
        <v/>
      </c>
      <c r="G72" s="48">
        <f>0</f>
        <v/>
      </c>
      <c r="H72" s="48">
        <f>0</f>
        <v/>
      </c>
      <c r="I72" s="48">
        <f>0</f>
        <v/>
      </c>
      <c r="J72" s="48">
        <f>0</f>
        <v/>
      </c>
      <c r="K72" s="48">
        <f>0</f>
        <v/>
      </c>
      <c r="L72" s="48">
        <f>0</f>
        <v/>
      </c>
      <c r="M72" s="48">
        <f>0</f>
        <v/>
      </c>
      <c r="N72" s="48">
        <f>0</f>
        <v/>
      </c>
      <c r="O72" s="48">
        <f>0</f>
        <v/>
      </c>
      <c r="P72" s="48">
        <f>0</f>
        <v/>
      </c>
      <c r="Q72" s="48">
        <f>0</f>
        <v/>
      </c>
      <c r="R72" s="48">
        <f>0</f>
        <v/>
      </c>
      <c r="S72" s="48">
        <f>0</f>
        <v/>
      </c>
      <c r="T72" s="48">
        <f>0</f>
        <v/>
      </c>
      <c r="U72" s="48">
        <f>0</f>
        <v/>
      </c>
      <c r="V72" s="48">
        <f>0</f>
        <v/>
      </c>
      <c r="W72" s="48">
        <f>0</f>
        <v/>
      </c>
      <c r="X72" s="48">
        <f>0</f>
        <v/>
      </c>
      <c r="Y72" s="48">
        <f>0</f>
        <v/>
      </c>
      <c r="Z72" s="48">
        <f>0</f>
        <v/>
      </c>
      <c r="AA72" s="48">
        <f>0</f>
        <v/>
      </c>
      <c r="AB72" s="48">
        <f>0</f>
        <v/>
      </c>
      <c r="AC72" s="48">
        <f>0</f>
        <v/>
      </c>
      <c r="AD72" s="48">
        <f>0</f>
        <v/>
      </c>
      <c r="AE72" s="48">
        <f>0</f>
        <v/>
      </c>
      <c r="AF72" s="48">
        <f>0</f>
        <v/>
      </c>
      <c r="AG72" s="48">
        <f>0</f>
        <v/>
      </c>
      <c r="AH72" s="48">
        <f>0</f>
        <v/>
      </c>
      <c r="AI72" s="48">
        <f>0</f>
        <v/>
      </c>
      <c r="AJ72" s="48">
        <f>0</f>
        <v/>
      </c>
      <c r="AK72" s="48">
        <f>0</f>
        <v/>
      </c>
      <c r="AL72" s="48">
        <f>0</f>
        <v/>
      </c>
      <c r="AM72" s="48">
        <f>0</f>
        <v/>
      </c>
      <c r="AN72" s="48">
        <f>0</f>
        <v/>
      </c>
      <c r="AO72" s="48">
        <f>0</f>
        <v/>
      </c>
      <c r="AP72" s="48">
        <f>0</f>
        <v/>
      </c>
      <c r="AQ72" s="48">
        <f>0</f>
        <v/>
      </c>
      <c r="AR72" s="48">
        <f>0</f>
        <v/>
      </c>
      <c r="AS72" s="48">
        <f>'Rev-Capacity'!AS29</f>
        <v/>
      </c>
      <c r="AT72" s="48">
        <f>AS72*(1+AT$10)*(1-AT$11)*IF(MOD((AT$7-42),12)=0,IF((AT$7-42)=12,AT$12,AT$13)*(1+AT$14),1)</f>
        <v/>
      </c>
      <c r="AU72" s="48">
        <f>AT72*(1+AU$10)*(1-AU$11)*IF(MOD((AU$7-42),12)=0,IF((AU$7-42)=12,AU$12,AU$13)*(1+AU$14),1)</f>
        <v/>
      </c>
      <c r="AV72" s="48">
        <f>AU72*(1+AV$10)*(1-AV$11)*IF(MOD((AV$7-42),12)=0,IF((AV$7-42)=12,AV$12,AV$13)*(1+AV$14),1)</f>
        <v/>
      </c>
      <c r="AW72" s="48">
        <f>AV72*(1+AW$10)*(1-AW$11)*IF(MOD((AW$7-42),12)=0,IF((AW$7-42)=12,AW$12,AW$13)*(1+AW$14),1)</f>
        <v/>
      </c>
      <c r="AX72" s="48">
        <f>AW72*(1+AX$10)*(1-AX$11)*IF(MOD((AX$7-42),12)=0,IF((AX$7-42)=12,AX$12,AX$13)*(1+AX$14),1)</f>
        <v/>
      </c>
      <c r="AY72" s="48">
        <f>AX72*(1+AY$10)*(1-AY$11)*IF(MOD((AY$7-42),12)=0,IF((AY$7-42)=12,AY$12,AY$13)*(1+AY$14),1)</f>
        <v/>
      </c>
      <c r="AZ72" s="48">
        <f>AY72*(1+AZ$10)*(1-AZ$11)*IF(MOD((AZ$7-42),12)=0,IF((AZ$7-42)=12,AZ$12,AZ$13)*(1+AZ$14),1)</f>
        <v/>
      </c>
      <c r="BA72" s="48">
        <f>AZ72*(1+BA$10)*(1-BA$11)*IF(MOD((BA$7-42),12)=0,IF((BA$7-42)=12,BA$12,BA$13)*(1+BA$14),1)</f>
        <v/>
      </c>
      <c r="BB72" s="48">
        <f>BA72*(1+BB$10)*(1-BB$11)*IF(MOD((BB$7-42),12)=0,IF((BB$7-42)=12,BB$12,BB$13)*(1+BB$14),1)</f>
        <v/>
      </c>
      <c r="BC72" s="48">
        <f>BB72*(1+BC$10)*(1-BC$11)*IF(MOD((BC$7-42),12)=0,IF((BC$7-42)=12,BC$12,BC$13)*(1+BC$14),1)</f>
        <v/>
      </c>
      <c r="BD72" s="48">
        <f>BC72*(1+BD$10)*(1-BD$11)*IF(MOD((BD$7-42),12)=0,IF((BD$7-42)=12,BD$12,BD$13)*(1+BD$14),1)</f>
        <v/>
      </c>
      <c r="BE72" s="48">
        <f>BD72*(1+BE$10)*(1-BE$11)*IF(MOD((BE$7-42),12)=0,IF((BE$7-42)=12,BE$12,BE$13)*(1+BE$14),1)</f>
        <v/>
      </c>
      <c r="BF72" s="48">
        <f>BE72*(1+BF$10)*(1-BF$11)*IF(MOD((BF$7-42),12)=0,IF((BF$7-42)=12,BF$12,BF$13)*(1+BF$14),1)</f>
        <v/>
      </c>
      <c r="BG72" s="48">
        <f>BF72*(1+BG$10)*(1-BG$11)*IF(MOD((BG$7-42),12)=0,IF((BG$7-42)=12,BG$12,BG$13)*(1+BG$14),1)</f>
        <v/>
      </c>
      <c r="BH72" s="48">
        <f>BG72*(1+BH$10)*(1-BH$11)*IF(MOD((BH$7-42),12)=0,IF((BH$7-42)=12,BH$12,BH$13)*(1+BH$14),1)</f>
        <v/>
      </c>
      <c r="BI72" s="48">
        <f>BH72*(1+BI$10)*(1-BI$11)*IF(MOD((BI$7-42),12)=0,IF((BI$7-42)=12,BI$12,BI$13)*(1+BI$14),1)</f>
        <v/>
      </c>
      <c r="BJ72" s="48">
        <f>BI72*(1+BJ$10)*(1-BJ$11)*IF(MOD((BJ$7-42),12)=0,IF((BJ$7-42)=12,BJ$12,BJ$13)*(1+BJ$14),1)</f>
        <v/>
      </c>
      <c r="BK72" s="48">
        <f>BJ72*(1+BK$10)*(1-BK$11)*IF(MOD((BK$7-42),12)=0,IF((BK$7-42)=12,BK$12,BK$13)*(1+BK$14),1)</f>
        <v/>
      </c>
    </row>
    <row r="73" hidden="1" outlineLevel="1">
      <c r="B73" s="18" t="inlineStr">
        <is>
          <t xml:space="preserve">    Cohort Jul-29</t>
        </is>
      </c>
      <c r="C73" s="19" t="inlineStr">
        <is>
          <t>$</t>
        </is>
      </c>
      <c r="D73" s="48">
        <f>0</f>
        <v/>
      </c>
      <c r="E73" s="48">
        <f>0</f>
        <v/>
      </c>
      <c r="F73" s="48">
        <f>0</f>
        <v/>
      </c>
      <c r="G73" s="48">
        <f>0</f>
        <v/>
      </c>
      <c r="H73" s="48">
        <f>0</f>
        <v/>
      </c>
      <c r="I73" s="48">
        <f>0</f>
        <v/>
      </c>
      <c r="J73" s="48">
        <f>0</f>
        <v/>
      </c>
      <c r="K73" s="48">
        <f>0</f>
        <v/>
      </c>
      <c r="L73" s="48">
        <f>0</f>
        <v/>
      </c>
      <c r="M73" s="48">
        <f>0</f>
        <v/>
      </c>
      <c r="N73" s="48">
        <f>0</f>
        <v/>
      </c>
      <c r="O73" s="48">
        <f>0</f>
        <v/>
      </c>
      <c r="P73" s="48">
        <f>0</f>
        <v/>
      </c>
      <c r="Q73" s="48">
        <f>0</f>
        <v/>
      </c>
      <c r="R73" s="48">
        <f>0</f>
        <v/>
      </c>
      <c r="S73" s="48">
        <f>0</f>
        <v/>
      </c>
      <c r="T73" s="48">
        <f>0</f>
        <v/>
      </c>
      <c r="U73" s="48">
        <f>0</f>
        <v/>
      </c>
      <c r="V73" s="48">
        <f>0</f>
        <v/>
      </c>
      <c r="W73" s="48">
        <f>0</f>
        <v/>
      </c>
      <c r="X73" s="48">
        <f>0</f>
        <v/>
      </c>
      <c r="Y73" s="48">
        <f>0</f>
        <v/>
      </c>
      <c r="Z73" s="48">
        <f>0</f>
        <v/>
      </c>
      <c r="AA73" s="48">
        <f>0</f>
        <v/>
      </c>
      <c r="AB73" s="48">
        <f>0</f>
        <v/>
      </c>
      <c r="AC73" s="48">
        <f>0</f>
        <v/>
      </c>
      <c r="AD73" s="48">
        <f>0</f>
        <v/>
      </c>
      <c r="AE73" s="48">
        <f>0</f>
        <v/>
      </c>
      <c r="AF73" s="48">
        <f>0</f>
        <v/>
      </c>
      <c r="AG73" s="48">
        <f>0</f>
        <v/>
      </c>
      <c r="AH73" s="48">
        <f>0</f>
        <v/>
      </c>
      <c r="AI73" s="48">
        <f>0</f>
        <v/>
      </c>
      <c r="AJ73" s="48">
        <f>0</f>
        <v/>
      </c>
      <c r="AK73" s="48">
        <f>0</f>
        <v/>
      </c>
      <c r="AL73" s="48">
        <f>0</f>
        <v/>
      </c>
      <c r="AM73" s="48">
        <f>0</f>
        <v/>
      </c>
      <c r="AN73" s="48">
        <f>0</f>
        <v/>
      </c>
      <c r="AO73" s="48">
        <f>0</f>
        <v/>
      </c>
      <c r="AP73" s="48">
        <f>0</f>
        <v/>
      </c>
      <c r="AQ73" s="48">
        <f>0</f>
        <v/>
      </c>
      <c r="AR73" s="48">
        <f>0</f>
        <v/>
      </c>
      <c r="AS73" s="48">
        <f>0</f>
        <v/>
      </c>
      <c r="AT73" s="48">
        <f>'Rev-Capacity'!AT29</f>
        <v/>
      </c>
      <c r="AU73" s="48">
        <f>AT73*(1+AU$10)*(1-AU$11)*IF(MOD((AU$7-43),12)=0,IF((AU$7-43)=12,AU$12,AU$13)*(1+AU$14),1)</f>
        <v/>
      </c>
      <c r="AV73" s="48">
        <f>AU73*(1+AV$10)*(1-AV$11)*IF(MOD((AV$7-43),12)=0,IF((AV$7-43)=12,AV$12,AV$13)*(1+AV$14),1)</f>
        <v/>
      </c>
      <c r="AW73" s="48">
        <f>AV73*(1+AW$10)*(1-AW$11)*IF(MOD((AW$7-43),12)=0,IF((AW$7-43)=12,AW$12,AW$13)*(1+AW$14),1)</f>
        <v/>
      </c>
      <c r="AX73" s="48">
        <f>AW73*(1+AX$10)*(1-AX$11)*IF(MOD((AX$7-43),12)=0,IF((AX$7-43)=12,AX$12,AX$13)*(1+AX$14),1)</f>
        <v/>
      </c>
      <c r="AY73" s="48">
        <f>AX73*(1+AY$10)*(1-AY$11)*IF(MOD((AY$7-43),12)=0,IF((AY$7-43)=12,AY$12,AY$13)*(1+AY$14),1)</f>
        <v/>
      </c>
      <c r="AZ73" s="48">
        <f>AY73*(1+AZ$10)*(1-AZ$11)*IF(MOD((AZ$7-43),12)=0,IF((AZ$7-43)=12,AZ$12,AZ$13)*(1+AZ$14),1)</f>
        <v/>
      </c>
      <c r="BA73" s="48">
        <f>AZ73*(1+BA$10)*(1-BA$11)*IF(MOD((BA$7-43),12)=0,IF((BA$7-43)=12,BA$12,BA$13)*(1+BA$14),1)</f>
        <v/>
      </c>
      <c r="BB73" s="48">
        <f>BA73*(1+BB$10)*(1-BB$11)*IF(MOD((BB$7-43),12)=0,IF((BB$7-43)=12,BB$12,BB$13)*(1+BB$14),1)</f>
        <v/>
      </c>
      <c r="BC73" s="48">
        <f>BB73*(1+BC$10)*(1-BC$11)*IF(MOD((BC$7-43),12)=0,IF((BC$7-43)=12,BC$12,BC$13)*(1+BC$14),1)</f>
        <v/>
      </c>
      <c r="BD73" s="48">
        <f>BC73*(1+BD$10)*(1-BD$11)*IF(MOD((BD$7-43),12)=0,IF((BD$7-43)=12,BD$12,BD$13)*(1+BD$14),1)</f>
        <v/>
      </c>
      <c r="BE73" s="48">
        <f>BD73*(1+BE$10)*(1-BE$11)*IF(MOD((BE$7-43),12)=0,IF((BE$7-43)=12,BE$12,BE$13)*(1+BE$14),1)</f>
        <v/>
      </c>
      <c r="BF73" s="48">
        <f>BE73*(1+BF$10)*(1-BF$11)*IF(MOD((BF$7-43),12)=0,IF((BF$7-43)=12,BF$12,BF$13)*(1+BF$14),1)</f>
        <v/>
      </c>
      <c r="BG73" s="48">
        <f>BF73*(1+BG$10)*(1-BG$11)*IF(MOD((BG$7-43),12)=0,IF((BG$7-43)=12,BG$12,BG$13)*(1+BG$14),1)</f>
        <v/>
      </c>
      <c r="BH73" s="48">
        <f>BG73*(1+BH$10)*(1-BH$11)*IF(MOD((BH$7-43),12)=0,IF((BH$7-43)=12,BH$12,BH$13)*(1+BH$14),1)</f>
        <v/>
      </c>
      <c r="BI73" s="48">
        <f>BH73*(1+BI$10)*(1-BI$11)*IF(MOD((BI$7-43),12)=0,IF((BI$7-43)=12,BI$12,BI$13)*(1+BI$14),1)</f>
        <v/>
      </c>
      <c r="BJ73" s="48">
        <f>BI73*(1+BJ$10)*(1-BJ$11)*IF(MOD((BJ$7-43),12)=0,IF((BJ$7-43)=12,BJ$12,BJ$13)*(1+BJ$14),1)</f>
        <v/>
      </c>
      <c r="BK73" s="48">
        <f>BJ73*(1+BK$10)*(1-BK$11)*IF(MOD((BK$7-43),12)=0,IF((BK$7-43)=12,BK$12,BK$13)*(1+BK$14),1)</f>
        <v/>
      </c>
    </row>
    <row r="74" hidden="1" outlineLevel="1">
      <c r="B74" s="18" t="inlineStr">
        <is>
          <t xml:space="preserve">    Cohort Aug-29</t>
        </is>
      </c>
      <c r="C74" s="19" t="inlineStr">
        <is>
          <t>$</t>
        </is>
      </c>
      <c r="D74" s="48">
        <f>0</f>
        <v/>
      </c>
      <c r="E74" s="48">
        <f>0</f>
        <v/>
      </c>
      <c r="F74" s="48">
        <f>0</f>
        <v/>
      </c>
      <c r="G74" s="48">
        <f>0</f>
        <v/>
      </c>
      <c r="H74" s="48">
        <f>0</f>
        <v/>
      </c>
      <c r="I74" s="48">
        <f>0</f>
        <v/>
      </c>
      <c r="J74" s="48">
        <f>0</f>
        <v/>
      </c>
      <c r="K74" s="48">
        <f>0</f>
        <v/>
      </c>
      <c r="L74" s="48">
        <f>0</f>
        <v/>
      </c>
      <c r="M74" s="48">
        <f>0</f>
        <v/>
      </c>
      <c r="N74" s="48">
        <f>0</f>
        <v/>
      </c>
      <c r="O74" s="48">
        <f>0</f>
        <v/>
      </c>
      <c r="P74" s="48">
        <f>0</f>
        <v/>
      </c>
      <c r="Q74" s="48">
        <f>0</f>
        <v/>
      </c>
      <c r="R74" s="48">
        <f>0</f>
        <v/>
      </c>
      <c r="S74" s="48">
        <f>0</f>
        <v/>
      </c>
      <c r="T74" s="48">
        <f>0</f>
        <v/>
      </c>
      <c r="U74" s="48">
        <f>0</f>
        <v/>
      </c>
      <c r="V74" s="48">
        <f>0</f>
        <v/>
      </c>
      <c r="W74" s="48">
        <f>0</f>
        <v/>
      </c>
      <c r="X74" s="48">
        <f>0</f>
        <v/>
      </c>
      <c r="Y74" s="48">
        <f>0</f>
        <v/>
      </c>
      <c r="Z74" s="48">
        <f>0</f>
        <v/>
      </c>
      <c r="AA74" s="48">
        <f>0</f>
        <v/>
      </c>
      <c r="AB74" s="48">
        <f>0</f>
        <v/>
      </c>
      <c r="AC74" s="48">
        <f>0</f>
        <v/>
      </c>
      <c r="AD74" s="48">
        <f>0</f>
        <v/>
      </c>
      <c r="AE74" s="48">
        <f>0</f>
        <v/>
      </c>
      <c r="AF74" s="48">
        <f>0</f>
        <v/>
      </c>
      <c r="AG74" s="48">
        <f>0</f>
        <v/>
      </c>
      <c r="AH74" s="48">
        <f>0</f>
        <v/>
      </c>
      <c r="AI74" s="48">
        <f>0</f>
        <v/>
      </c>
      <c r="AJ74" s="48">
        <f>0</f>
        <v/>
      </c>
      <c r="AK74" s="48">
        <f>0</f>
        <v/>
      </c>
      <c r="AL74" s="48">
        <f>0</f>
        <v/>
      </c>
      <c r="AM74" s="48">
        <f>0</f>
        <v/>
      </c>
      <c r="AN74" s="48">
        <f>0</f>
        <v/>
      </c>
      <c r="AO74" s="48">
        <f>0</f>
        <v/>
      </c>
      <c r="AP74" s="48">
        <f>0</f>
        <v/>
      </c>
      <c r="AQ74" s="48">
        <f>0</f>
        <v/>
      </c>
      <c r="AR74" s="48">
        <f>0</f>
        <v/>
      </c>
      <c r="AS74" s="48">
        <f>0</f>
        <v/>
      </c>
      <c r="AT74" s="48">
        <f>0</f>
        <v/>
      </c>
      <c r="AU74" s="48">
        <f>'Rev-Capacity'!AU29</f>
        <v/>
      </c>
      <c r="AV74" s="48">
        <f>AU74*(1+AV$10)*(1-AV$11)*IF(MOD((AV$7-44),12)=0,IF((AV$7-44)=12,AV$12,AV$13)*(1+AV$14),1)</f>
        <v/>
      </c>
      <c r="AW74" s="48">
        <f>AV74*(1+AW$10)*(1-AW$11)*IF(MOD((AW$7-44),12)=0,IF((AW$7-44)=12,AW$12,AW$13)*(1+AW$14),1)</f>
        <v/>
      </c>
      <c r="AX74" s="48">
        <f>AW74*(1+AX$10)*(1-AX$11)*IF(MOD((AX$7-44),12)=0,IF((AX$7-44)=12,AX$12,AX$13)*(1+AX$14),1)</f>
        <v/>
      </c>
      <c r="AY74" s="48">
        <f>AX74*(1+AY$10)*(1-AY$11)*IF(MOD((AY$7-44),12)=0,IF((AY$7-44)=12,AY$12,AY$13)*(1+AY$14),1)</f>
        <v/>
      </c>
      <c r="AZ74" s="48">
        <f>AY74*(1+AZ$10)*(1-AZ$11)*IF(MOD((AZ$7-44),12)=0,IF((AZ$7-44)=12,AZ$12,AZ$13)*(1+AZ$14),1)</f>
        <v/>
      </c>
      <c r="BA74" s="48">
        <f>AZ74*(1+BA$10)*(1-BA$11)*IF(MOD((BA$7-44),12)=0,IF((BA$7-44)=12,BA$12,BA$13)*(1+BA$14),1)</f>
        <v/>
      </c>
      <c r="BB74" s="48">
        <f>BA74*(1+BB$10)*(1-BB$11)*IF(MOD((BB$7-44),12)=0,IF((BB$7-44)=12,BB$12,BB$13)*(1+BB$14),1)</f>
        <v/>
      </c>
      <c r="BC74" s="48">
        <f>BB74*(1+BC$10)*(1-BC$11)*IF(MOD((BC$7-44),12)=0,IF((BC$7-44)=12,BC$12,BC$13)*(1+BC$14),1)</f>
        <v/>
      </c>
      <c r="BD74" s="48">
        <f>BC74*(1+BD$10)*(1-BD$11)*IF(MOD((BD$7-44),12)=0,IF((BD$7-44)=12,BD$12,BD$13)*(1+BD$14),1)</f>
        <v/>
      </c>
      <c r="BE74" s="48">
        <f>BD74*(1+BE$10)*(1-BE$11)*IF(MOD((BE$7-44),12)=0,IF((BE$7-44)=12,BE$12,BE$13)*(1+BE$14),1)</f>
        <v/>
      </c>
      <c r="BF74" s="48">
        <f>BE74*(1+BF$10)*(1-BF$11)*IF(MOD((BF$7-44),12)=0,IF((BF$7-44)=12,BF$12,BF$13)*(1+BF$14),1)</f>
        <v/>
      </c>
      <c r="BG74" s="48">
        <f>BF74*(1+BG$10)*(1-BG$11)*IF(MOD((BG$7-44),12)=0,IF((BG$7-44)=12,BG$12,BG$13)*(1+BG$14),1)</f>
        <v/>
      </c>
      <c r="BH74" s="48">
        <f>BG74*(1+BH$10)*(1-BH$11)*IF(MOD((BH$7-44),12)=0,IF((BH$7-44)=12,BH$12,BH$13)*(1+BH$14),1)</f>
        <v/>
      </c>
      <c r="BI74" s="48">
        <f>BH74*(1+BI$10)*(1-BI$11)*IF(MOD((BI$7-44),12)=0,IF((BI$7-44)=12,BI$12,BI$13)*(1+BI$14),1)</f>
        <v/>
      </c>
      <c r="BJ74" s="48">
        <f>BI74*(1+BJ$10)*(1-BJ$11)*IF(MOD((BJ$7-44),12)=0,IF((BJ$7-44)=12,BJ$12,BJ$13)*(1+BJ$14),1)</f>
        <v/>
      </c>
      <c r="BK74" s="48">
        <f>BJ74*(1+BK$10)*(1-BK$11)*IF(MOD((BK$7-44),12)=0,IF((BK$7-44)=12,BK$12,BK$13)*(1+BK$14),1)</f>
        <v/>
      </c>
    </row>
    <row r="75" hidden="1" outlineLevel="1">
      <c r="B75" s="18" t="inlineStr">
        <is>
          <t xml:space="preserve">    Cohort Sep-29</t>
        </is>
      </c>
      <c r="C75" s="19" t="inlineStr">
        <is>
          <t>$</t>
        </is>
      </c>
      <c r="D75" s="48">
        <f>0</f>
        <v/>
      </c>
      <c r="E75" s="48">
        <f>0</f>
        <v/>
      </c>
      <c r="F75" s="48">
        <f>0</f>
        <v/>
      </c>
      <c r="G75" s="48">
        <f>0</f>
        <v/>
      </c>
      <c r="H75" s="48">
        <f>0</f>
        <v/>
      </c>
      <c r="I75" s="48">
        <f>0</f>
        <v/>
      </c>
      <c r="J75" s="48">
        <f>0</f>
        <v/>
      </c>
      <c r="K75" s="48">
        <f>0</f>
        <v/>
      </c>
      <c r="L75" s="48">
        <f>0</f>
        <v/>
      </c>
      <c r="M75" s="48">
        <f>0</f>
        <v/>
      </c>
      <c r="N75" s="48">
        <f>0</f>
        <v/>
      </c>
      <c r="O75" s="48">
        <f>0</f>
        <v/>
      </c>
      <c r="P75" s="48">
        <f>0</f>
        <v/>
      </c>
      <c r="Q75" s="48">
        <f>0</f>
        <v/>
      </c>
      <c r="R75" s="48">
        <f>0</f>
        <v/>
      </c>
      <c r="S75" s="48">
        <f>0</f>
        <v/>
      </c>
      <c r="T75" s="48">
        <f>0</f>
        <v/>
      </c>
      <c r="U75" s="48">
        <f>0</f>
        <v/>
      </c>
      <c r="V75" s="48">
        <f>0</f>
        <v/>
      </c>
      <c r="W75" s="48">
        <f>0</f>
        <v/>
      </c>
      <c r="X75" s="48">
        <f>0</f>
        <v/>
      </c>
      <c r="Y75" s="48">
        <f>0</f>
        <v/>
      </c>
      <c r="Z75" s="48">
        <f>0</f>
        <v/>
      </c>
      <c r="AA75" s="48">
        <f>0</f>
        <v/>
      </c>
      <c r="AB75" s="48">
        <f>0</f>
        <v/>
      </c>
      <c r="AC75" s="48">
        <f>0</f>
        <v/>
      </c>
      <c r="AD75" s="48">
        <f>0</f>
        <v/>
      </c>
      <c r="AE75" s="48">
        <f>0</f>
        <v/>
      </c>
      <c r="AF75" s="48">
        <f>0</f>
        <v/>
      </c>
      <c r="AG75" s="48">
        <f>0</f>
        <v/>
      </c>
      <c r="AH75" s="48">
        <f>0</f>
        <v/>
      </c>
      <c r="AI75" s="48">
        <f>0</f>
        <v/>
      </c>
      <c r="AJ75" s="48">
        <f>0</f>
        <v/>
      </c>
      <c r="AK75" s="48">
        <f>0</f>
        <v/>
      </c>
      <c r="AL75" s="48">
        <f>0</f>
        <v/>
      </c>
      <c r="AM75" s="48">
        <f>0</f>
        <v/>
      </c>
      <c r="AN75" s="48">
        <f>0</f>
        <v/>
      </c>
      <c r="AO75" s="48">
        <f>0</f>
        <v/>
      </c>
      <c r="AP75" s="48">
        <f>0</f>
        <v/>
      </c>
      <c r="AQ75" s="48">
        <f>0</f>
        <v/>
      </c>
      <c r="AR75" s="48">
        <f>0</f>
        <v/>
      </c>
      <c r="AS75" s="48">
        <f>0</f>
        <v/>
      </c>
      <c r="AT75" s="48">
        <f>0</f>
        <v/>
      </c>
      <c r="AU75" s="48">
        <f>0</f>
        <v/>
      </c>
      <c r="AV75" s="48">
        <f>'Rev-Capacity'!AV29</f>
        <v/>
      </c>
      <c r="AW75" s="48">
        <f>AV75*(1+AW$10)*(1-AW$11)*IF(MOD((AW$7-45),12)=0,IF((AW$7-45)=12,AW$12,AW$13)*(1+AW$14),1)</f>
        <v/>
      </c>
      <c r="AX75" s="48">
        <f>AW75*(1+AX$10)*(1-AX$11)*IF(MOD((AX$7-45),12)=0,IF((AX$7-45)=12,AX$12,AX$13)*(1+AX$14),1)</f>
        <v/>
      </c>
      <c r="AY75" s="48">
        <f>AX75*(1+AY$10)*(1-AY$11)*IF(MOD((AY$7-45),12)=0,IF((AY$7-45)=12,AY$12,AY$13)*(1+AY$14),1)</f>
        <v/>
      </c>
      <c r="AZ75" s="48">
        <f>AY75*(1+AZ$10)*(1-AZ$11)*IF(MOD((AZ$7-45),12)=0,IF((AZ$7-45)=12,AZ$12,AZ$13)*(1+AZ$14),1)</f>
        <v/>
      </c>
      <c r="BA75" s="48">
        <f>AZ75*(1+BA$10)*(1-BA$11)*IF(MOD((BA$7-45),12)=0,IF((BA$7-45)=12,BA$12,BA$13)*(1+BA$14),1)</f>
        <v/>
      </c>
      <c r="BB75" s="48">
        <f>BA75*(1+BB$10)*(1-BB$11)*IF(MOD((BB$7-45),12)=0,IF((BB$7-45)=12,BB$12,BB$13)*(1+BB$14),1)</f>
        <v/>
      </c>
      <c r="BC75" s="48">
        <f>BB75*(1+BC$10)*(1-BC$11)*IF(MOD((BC$7-45),12)=0,IF((BC$7-45)=12,BC$12,BC$13)*(1+BC$14),1)</f>
        <v/>
      </c>
      <c r="BD75" s="48">
        <f>BC75*(1+BD$10)*(1-BD$11)*IF(MOD((BD$7-45),12)=0,IF((BD$7-45)=12,BD$12,BD$13)*(1+BD$14),1)</f>
        <v/>
      </c>
      <c r="BE75" s="48">
        <f>BD75*(1+BE$10)*(1-BE$11)*IF(MOD((BE$7-45),12)=0,IF((BE$7-45)=12,BE$12,BE$13)*(1+BE$14),1)</f>
        <v/>
      </c>
      <c r="BF75" s="48">
        <f>BE75*(1+BF$10)*(1-BF$11)*IF(MOD((BF$7-45),12)=0,IF((BF$7-45)=12,BF$12,BF$13)*(1+BF$14),1)</f>
        <v/>
      </c>
      <c r="BG75" s="48">
        <f>BF75*(1+BG$10)*(1-BG$11)*IF(MOD((BG$7-45),12)=0,IF((BG$7-45)=12,BG$12,BG$13)*(1+BG$14),1)</f>
        <v/>
      </c>
      <c r="BH75" s="48">
        <f>BG75*(1+BH$10)*(1-BH$11)*IF(MOD((BH$7-45),12)=0,IF((BH$7-45)=12,BH$12,BH$13)*(1+BH$14),1)</f>
        <v/>
      </c>
      <c r="BI75" s="48">
        <f>BH75*(1+BI$10)*(1-BI$11)*IF(MOD((BI$7-45),12)=0,IF((BI$7-45)=12,BI$12,BI$13)*(1+BI$14),1)</f>
        <v/>
      </c>
      <c r="BJ75" s="48">
        <f>BI75*(1+BJ$10)*(1-BJ$11)*IF(MOD((BJ$7-45),12)=0,IF((BJ$7-45)=12,BJ$12,BJ$13)*(1+BJ$14),1)</f>
        <v/>
      </c>
      <c r="BK75" s="48">
        <f>BJ75*(1+BK$10)*(1-BK$11)*IF(MOD((BK$7-45),12)=0,IF((BK$7-45)=12,BK$12,BK$13)*(1+BK$14),1)</f>
        <v/>
      </c>
    </row>
    <row r="76" hidden="1" outlineLevel="1">
      <c r="B76" s="18" t="inlineStr">
        <is>
          <t xml:space="preserve">    Cohort Oct-29</t>
        </is>
      </c>
      <c r="C76" s="19" t="inlineStr">
        <is>
          <t>$</t>
        </is>
      </c>
      <c r="D76" s="48">
        <f>0</f>
        <v/>
      </c>
      <c r="E76" s="48">
        <f>0</f>
        <v/>
      </c>
      <c r="F76" s="48">
        <f>0</f>
        <v/>
      </c>
      <c r="G76" s="48">
        <f>0</f>
        <v/>
      </c>
      <c r="H76" s="48">
        <f>0</f>
        <v/>
      </c>
      <c r="I76" s="48">
        <f>0</f>
        <v/>
      </c>
      <c r="J76" s="48">
        <f>0</f>
        <v/>
      </c>
      <c r="K76" s="48">
        <f>0</f>
        <v/>
      </c>
      <c r="L76" s="48">
        <f>0</f>
        <v/>
      </c>
      <c r="M76" s="48">
        <f>0</f>
        <v/>
      </c>
      <c r="N76" s="48">
        <f>0</f>
        <v/>
      </c>
      <c r="O76" s="48">
        <f>0</f>
        <v/>
      </c>
      <c r="P76" s="48">
        <f>0</f>
        <v/>
      </c>
      <c r="Q76" s="48">
        <f>0</f>
        <v/>
      </c>
      <c r="R76" s="48">
        <f>0</f>
        <v/>
      </c>
      <c r="S76" s="48">
        <f>0</f>
        <v/>
      </c>
      <c r="T76" s="48">
        <f>0</f>
        <v/>
      </c>
      <c r="U76" s="48">
        <f>0</f>
        <v/>
      </c>
      <c r="V76" s="48">
        <f>0</f>
        <v/>
      </c>
      <c r="W76" s="48">
        <f>0</f>
        <v/>
      </c>
      <c r="X76" s="48">
        <f>0</f>
        <v/>
      </c>
      <c r="Y76" s="48">
        <f>0</f>
        <v/>
      </c>
      <c r="Z76" s="48">
        <f>0</f>
        <v/>
      </c>
      <c r="AA76" s="48">
        <f>0</f>
        <v/>
      </c>
      <c r="AB76" s="48">
        <f>0</f>
        <v/>
      </c>
      <c r="AC76" s="48">
        <f>0</f>
        <v/>
      </c>
      <c r="AD76" s="48">
        <f>0</f>
        <v/>
      </c>
      <c r="AE76" s="48">
        <f>0</f>
        <v/>
      </c>
      <c r="AF76" s="48">
        <f>0</f>
        <v/>
      </c>
      <c r="AG76" s="48">
        <f>0</f>
        <v/>
      </c>
      <c r="AH76" s="48">
        <f>0</f>
        <v/>
      </c>
      <c r="AI76" s="48">
        <f>0</f>
        <v/>
      </c>
      <c r="AJ76" s="48">
        <f>0</f>
        <v/>
      </c>
      <c r="AK76" s="48">
        <f>0</f>
        <v/>
      </c>
      <c r="AL76" s="48">
        <f>0</f>
        <v/>
      </c>
      <c r="AM76" s="48">
        <f>0</f>
        <v/>
      </c>
      <c r="AN76" s="48">
        <f>0</f>
        <v/>
      </c>
      <c r="AO76" s="48">
        <f>0</f>
        <v/>
      </c>
      <c r="AP76" s="48">
        <f>0</f>
        <v/>
      </c>
      <c r="AQ76" s="48">
        <f>0</f>
        <v/>
      </c>
      <c r="AR76" s="48">
        <f>0</f>
        <v/>
      </c>
      <c r="AS76" s="48">
        <f>0</f>
        <v/>
      </c>
      <c r="AT76" s="48">
        <f>0</f>
        <v/>
      </c>
      <c r="AU76" s="48">
        <f>0</f>
        <v/>
      </c>
      <c r="AV76" s="48">
        <f>0</f>
        <v/>
      </c>
      <c r="AW76" s="48">
        <f>'Rev-Capacity'!AW29</f>
        <v/>
      </c>
      <c r="AX76" s="48">
        <f>AW76*(1+AX$10)*(1-AX$11)*IF(MOD((AX$7-46),12)=0,IF((AX$7-46)=12,AX$12,AX$13)*(1+AX$14),1)</f>
        <v/>
      </c>
      <c r="AY76" s="48">
        <f>AX76*(1+AY$10)*(1-AY$11)*IF(MOD((AY$7-46),12)=0,IF((AY$7-46)=12,AY$12,AY$13)*(1+AY$14),1)</f>
        <v/>
      </c>
      <c r="AZ76" s="48">
        <f>AY76*(1+AZ$10)*(1-AZ$11)*IF(MOD((AZ$7-46),12)=0,IF((AZ$7-46)=12,AZ$12,AZ$13)*(1+AZ$14),1)</f>
        <v/>
      </c>
      <c r="BA76" s="48">
        <f>AZ76*(1+BA$10)*(1-BA$11)*IF(MOD((BA$7-46),12)=0,IF((BA$7-46)=12,BA$12,BA$13)*(1+BA$14),1)</f>
        <v/>
      </c>
      <c r="BB76" s="48">
        <f>BA76*(1+BB$10)*(1-BB$11)*IF(MOD((BB$7-46),12)=0,IF((BB$7-46)=12,BB$12,BB$13)*(1+BB$14),1)</f>
        <v/>
      </c>
      <c r="BC76" s="48">
        <f>BB76*(1+BC$10)*(1-BC$11)*IF(MOD((BC$7-46),12)=0,IF((BC$7-46)=12,BC$12,BC$13)*(1+BC$14),1)</f>
        <v/>
      </c>
      <c r="BD76" s="48">
        <f>BC76*(1+BD$10)*(1-BD$11)*IF(MOD((BD$7-46),12)=0,IF((BD$7-46)=12,BD$12,BD$13)*(1+BD$14),1)</f>
        <v/>
      </c>
      <c r="BE76" s="48">
        <f>BD76*(1+BE$10)*(1-BE$11)*IF(MOD((BE$7-46),12)=0,IF((BE$7-46)=12,BE$12,BE$13)*(1+BE$14),1)</f>
        <v/>
      </c>
      <c r="BF76" s="48">
        <f>BE76*(1+BF$10)*(1-BF$11)*IF(MOD((BF$7-46),12)=0,IF((BF$7-46)=12,BF$12,BF$13)*(1+BF$14),1)</f>
        <v/>
      </c>
      <c r="BG76" s="48">
        <f>BF76*(1+BG$10)*(1-BG$11)*IF(MOD((BG$7-46),12)=0,IF((BG$7-46)=12,BG$12,BG$13)*(1+BG$14),1)</f>
        <v/>
      </c>
      <c r="BH76" s="48">
        <f>BG76*(1+BH$10)*(1-BH$11)*IF(MOD((BH$7-46),12)=0,IF((BH$7-46)=12,BH$12,BH$13)*(1+BH$14),1)</f>
        <v/>
      </c>
      <c r="BI76" s="48">
        <f>BH76*(1+BI$10)*(1-BI$11)*IF(MOD((BI$7-46),12)=0,IF((BI$7-46)=12,BI$12,BI$13)*(1+BI$14),1)</f>
        <v/>
      </c>
      <c r="BJ76" s="48">
        <f>BI76*(1+BJ$10)*(1-BJ$11)*IF(MOD((BJ$7-46),12)=0,IF((BJ$7-46)=12,BJ$12,BJ$13)*(1+BJ$14),1)</f>
        <v/>
      </c>
      <c r="BK76" s="48">
        <f>BJ76*(1+BK$10)*(1-BK$11)*IF(MOD((BK$7-46),12)=0,IF((BK$7-46)=12,BK$12,BK$13)*(1+BK$14),1)</f>
        <v/>
      </c>
    </row>
    <row r="77" hidden="1" outlineLevel="1">
      <c r="B77" s="18" t="inlineStr">
        <is>
          <t xml:space="preserve">    Cohort Nov-29</t>
        </is>
      </c>
      <c r="C77" s="19" t="inlineStr">
        <is>
          <t>$</t>
        </is>
      </c>
      <c r="D77" s="48">
        <f>0</f>
        <v/>
      </c>
      <c r="E77" s="48">
        <f>0</f>
        <v/>
      </c>
      <c r="F77" s="48">
        <f>0</f>
        <v/>
      </c>
      <c r="G77" s="48">
        <f>0</f>
        <v/>
      </c>
      <c r="H77" s="48">
        <f>0</f>
        <v/>
      </c>
      <c r="I77" s="48">
        <f>0</f>
        <v/>
      </c>
      <c r="J77" s="48">
        <f>0</f>
        <v/>
      </c>
      <c r="K77" s="48">
        <f>0</f>
        <v/>
      </c>
      <c r="L77" s="48">
        <f>0</f>
        <v/>
      </c>
      <c r="M77" s="48">
        <f>0</f>
        <v/>
      </c>
      <c r="N77" s="48">
        <f>0</f>
        <v/>
      </c>
      <c r="O77" s="48">
        <f>0</f>
        <v/>
      </c>
      <c r="P77" s="48">
        <f>0</f>
        <v/>
      </c>
      <c r="Q77" s="48">
        <f>0</f>
        <v/>
      </c>
      <c r="R77" s="48">
        <f>0</f>
        <v/>
      </c>
      <c r="S77" s="48">
        <f>0</f>
        <v/>
      </c>
      <c r="T77" s="48">
        <f>0</f>
        <v/>
      </c>
      <c r="U77" s="48">
        <f>0</f>
        <v/>
      </c>
      <c r="V77" s="48">
        <f>0</f>
        <v/>
      </c>
      <c r="W77" s="48">
        <f>0</f>
        <v/>
      </c>
      <c r="X77" s="48">
        <f>0</f>
        <v/>
      </c>
      <c r="Y77" s="48">
        <f>0</f>
        <v/>
      </c>
      <c r="Z77" s="48">
        <f>0</f>
        <v/>
      </c>
      <c r="AA77" s="48">
        <f>0</f>
        <v/>
      </c>
      <c r="AB77" s="48">
        <f>0</f>
        <v/>
      </c>
      <c r="AC77" s="48">
        <f>0</f>
        <v/>
      </c>
      <c r="AD77" s="48">
        <f>0</f>
        <v/>
      </c>
      <c r="AE77" s="48">
        <f>0</f>
        <v/>
      </c>
      <c r="AF77" s="48">
        <f>0</f>
        <v/>
      </c>
      <c r="AG77" s="48">
        <f>0</f>
        <v/>
      </c>
      <c r="AH77" s="48">
        <f>0</f>
        <v/>
      </c>
      <c r="AI77" s="48">
        <f>0</f>
        <v/>
      </c>
      <c r="AJ77" s="48">
        <f>0</f>
        <v/>
      </c>
      <c r="AK77" s="48">
        <f>0</f>
        <v/>
      </c>
      <c r="AL77" s="48">
        <f>0</f>
        <v/>
      </c>
      <c r="AM77" s="48">
        <f>0</f>
        <v/>
      </c>
      <c r="AN77" s="48">
        <f>0</f>
        <v/>
      </c>
      <c r="AO77" s="48">
        <f>0</f>
        <v/>
      </c>
      <c r="AP77" s="48">
        <f>0</f>
        <v/>
      </c>
      <c r="AQ77" s="48">
        <f>0</f>
        <v/>
      </c>
      <c r="AR77" s="48">
        <f>0</f>
        <v/>
      </c>
      <c r="AS77" s="48">
        <f>0</f>
        <v/>
      </c>
      <c r="AT77" s="48">
        <f>0</f>
        <v/>
      </c>
      <c r="AU77" s="48">
        <f>0</f>
        <v/>
      </c>
      <c r="AV77" s="48">
        <f>0</f>
        <v/>
      </c>
      <c r="AW77" s="48">
        <f>0</f>
        <v/>
      </c>
      <c r="AX77" s="48">
        <f>'Rev-Capacity'!AX29</f>
        <v/>
      </c>
      <c r="AY77" s="48">
        <f>AX77*(1+AY$10)*(1-AY$11)*IF(MOD((AY$7-47),12)=0,IF((AY$7-47)=12,AY$12,AY$13)*(1+AY$14),1)</f>
        <v/>
      </c>
      <c r="AZ77" s="48">
        <f>AY77*(1+AZ$10)*(1-AZ$11)*IF(MOD((AZ$7-47),12)=0,IF((AZ$7-47)=12,AZ$12,AZ$13)*(1+AZ$14),1)</f>
        <v/>
      </c>
      <c r="BA77" s="48">
        <f>AZ77*(1+BA$10)*(1-BA$11)*IF(MOD((BA$7-47),12)=0,IF((BA$7-47)=12,BA$12,BA$13)*(1+BA$14),1)</f>
        <v/>
      </c>
      <c r="BB77" s="48">
        <f>BA77*(1+BB$10)*(1-BB$11)*IF(MOD((BB$7-47),12)=0,IF((BB$7-47)=12,BB$12,BB$13)*(1+BB$14),1)</f>
        <v/>
      </c>
      <c r="BC77" s="48">
        <f>BB77*(1+BC$10)*(1-BC$11)*IF(MOD((BC$7-47),12)=0,IF((BC$7-47)=12,BC$12,BC$13)*(1+BC$14),1)</f>
        <v/>
      </c>
      <c r="BD77" s="48">
        <f>BC77*(1+BD$10)*(1-BD$11)*IF(MOD((BD$7-47),12)=0,IF((BD$7-47)=12,BD$12,BD$13)*(1+BD$14),1)</f>
        <v/>
      </c>
      <c r="BE77" s="48">
        <f>BD77*(1+BE$10)*(1-BE$11)*IF(MOD((BE$7-47),12)=0,IF((BE$7-47)=12,BE$12,BE$13)*(1+BE$14),1)</f>
        <v/>
      </c>
      <c r="BF77" s="48">
        <f>BE77*(1+BF$10)*(1-BF$11)*IF(MOD((BF$7-47),12)=0,IF((BF$7-47)=12,BF$12,BF$13)*(1+BF$14),1)</f>
        <v/>
      </c>
      <c r="BG77" s="48">
        <f>BF77*(1+BG$10)*(1-BG$11)*IF(MOD((BG$7-47),12)=0,IF((BG$7-47)=12,BG$12,BG$13)*(1+BG$14),1)</f>
        <v/>
      </c>
      <c r="BH77" s="48">
        <f>BG77*(1+BH$10)*(1-BH$11)*IF(MOD((BH$7-47),12)=0,IF((BH$7-47)=12,BH$12,BH$13)*(1+BH$14),1)</f>
        <v/>
      </c>
      <c r="BI77" s="48">
        <f>BH77*(1+BI$10)*(1-BI$11)*IF(MOD((BI$7-47),12)=0,IF((BI$7-47)=12,BI$12,BI$13)*(1+BI$14),1)</f>
        <v/>
      </c>
      <c r="BJ77" s="48">
        <f>BI77*(1+BJ$10)*(1-BJ$11)*IF(MOD((BJ$7-47),12)=0,IF((BJ$7-47)=12,BJ$12,BJ$13)*(1+BJ$14),1)</f>
        <v/>
      </c>
      <c r="BK77" s="48">
        <f>BJ77*(1+BK$10)*(1-BK$11)*IF(MOD((BK$7-47),12)=0,IF((BK$7-47)=12,BK$12,BK$13)*(1+BK$14),1)</f>
        <v/>
      </c>
    </row>
    <row r="78" hidden="1" outlineLevel="1">
      <c r="B78" s="18" t="inlineStr">
        <is>
          <t xml:space="preserve">    Cohort Dec-29</t>
        </is>
      </c>
      <c r="C78" s="19" t="inlineStr">
        <is>
          <t>$</t>
        </is>
      </c>
      <c r="D78" s="48">
        <f>0</f>
        <v/>
      </c>
      <c r="E78" s="48">
        <f>0</f>
        <v/>
      </c>
      <c r="F78" s="48">
        <f>0</f>
        <v/>
      </c>
      <c r="G78" s="48">
        <f>0</f>
        <v/>
      </c>
      <c r="H78" s="48">
        <f>0</f>
        <v/>
      </c>
      <c r="I78" s="48">
        <f>0</f>
        <v/>
      </c>
      <c r="J78" s="48">
        <f>0</f>
        <v/>
      </c>
      <c r="K78" s="48">
        <f>0</f>
        <v/>
      </c>
      <c r="L78" s="48">
        <f>0</f>
        <v/>
      </c>
      <c r="M78" s="48">
        <f>0</f>
        <v/>
      </c>
      <c r="N78" s="48">
        <f>0</f>
        <v/>
      </c>
      <c r="O78" s="48">
        <f>0</f>
        <v/>
      </c>
      <c r="P78" s="48">
        <f>0</f>
        <v/>
      </c>
      <c r="Q78" s="48">
        <f>0</f>
        <v/>
      </c>
      <c r="R78" s="48">
        <f>0</f>
        <v/>
      </c>
      <c r="S78" s="48">
        <f>0</f>
        <v/>
      </c>
      <c r="T78" s="48">
        <f>0</f>
        <v/>
      </c>
      <c r="U78" s="48">
        <f>0</f>
        <v/>
      </c>
      <c r="V78" s="48">
        <f>0</f>
        <v/>
      </c>
      <c r="W78" s="48">
        <f>0</f>
        <v/>
      </c>
      <c r="X78" s="48">
        <f>0</f>
        <v/>
      </c>
      <c r="Y78" s="48">
        <f>0</f>
        <v/>
      </c>
      <c r="Z78" s="48">
        <f>0</f>
        <v/>
      </c>
      <c r="AA78" s="48">
        <f>0</f>
        <v/>
      </c>
      <c r="AB78" s="48">
        <f>0</f>
        <v/>
      </c>
      <c r="AC78" s="48">
        <f>0</f>
        <v/>
      </c>
      <c r="AD78" s="48">
        <f>0</f>
        <v/>
      </c>
      <c r="AE78" s="48">
        <f>0</f>
        <v/>
      </c>
      <c r="AF78" s="48">
        <f>0</f>
        <v/>
      </c>
      <c r="AG78" s="48">
        <f>0</f>
        <v/>
      </c>
      <c r="AH78" s="48">
        <f>0</f>
        <v/>
      </c>
      <c r="AI78" s="48">
        <f>0</f>
        <v/>
      </c>
      <c r="AJ78" s="48">
        <f>0</f>
        <v/>
      </c>
      <c r="AK78" s="48">
        <f>0</f>
        <v/>
      </c>
      <c r="AL78" s="48">
        <f>0</f>
        <v/>
      </c>
      <c r="AM78" s="48">
        <f>0</f>
        <v/>
      </c>
      <c r="AN78" s="48">
        <f>0</f>
        <v/>
      </c>
      <c r="AO78" s="48">
        <f>0</f>
        <v/>
      </c>
      <c r="AP78" s="48">
        <f>0</f>
        <v/>
      </c>
      <c r="AQ78" s="48">
        <f>0</f>
        <v/>
      </c>
      <c r="AR78" s="48">
        <f>0</f>
        <v/>
      </c>
      <c r="AS78" s="48">
        <f>0</f>
        <v/>
      </c>
      <c r="AT78" s="48">
        <f>0</f>
        <v/>
      </c>
      <c r="AU78" s="48">
        <f>0</f>
        <v/>
      </c>
      <c r="AV78" s="48">
        <f>0</f>
        <v/>
      </c>
      <c r="AW78" s="48">
        <f>0</f>
        <v/>
      </c>
      <c r="AX78" s="48">
        <f>0</f>
        <v/>
      </c>
      <c r="AY78" s="48">
        <f>'Rev-Capacity'!AY29</f>
        <v/>
      </c>
      <c r="AZ78" s="48">
        <f>AY78*(1+AZ$10)*(1-AZ$11)*IF(MOD((AZ$7-48),12)=0,IF((AZ$7-48)=12,AZ$12,AZ$13)*(1+AZ$14),1)</f>
        <v/>
      </c>
      <c r="BA78" s="48">
        <f>AZ78*(1+BA$10)*(1-BA$11)*IF(MOD((BA$7-48),12)=0,IF((BA$7-48)=12,BA$12,BA$13)*(1+BA$14),1)</f>
        <v/>
      </c>
      <c r="BB78" s="48">
        <f>BA78*(1+BB$10)*(1-BB$11)*IF(MOD((BB$7-48),12)=0,IF((BB$7-48)=12,BB$12,BB$13)*(1+BB$14),1)</f>
        <v/>
      </c>
      <c r="BC78" s="48">
        <f>BB78*(1+BC$10)*(1-BC$11)*IF(MOD((BC$7-48),12)=0,IF((BC$7-48)=12,BC$12,BC$13)*(1+BC$14),1)</f>
        <v/>
      </c>
      <c r="BD78" s="48">
        <f>BC78*(1+BD$10)*(1-BD$11)*IF(MOD((BD$7-48),12)=0,IF((BD$7-48)=12,BD$12,BD$13)*(1+BD$14),1)</f>
        <v/>
      </c>
      <c r="BE78" s="48">
        <f>BD78*(1+BE$10)*(1-BE$11)*IF(MOD((BE$7-48),12)=0,IF((BE$7-48)=12,BE$12,BE$13)*(1+BE$14),1)</f>
        <v/>
      </c>
      <c r="BF78" s="48">
        <f>BE78*(1+BF$10)*(1-BF$11)*IF(MOD((BF$7-48),12)=0,IF((BF$7-48)=12,BF$12,BF$13)*(1+BF$14),1)</f>
        <v/>
      </c>
      <c r="BG78" s="48">
        <f>BF78*(1+BG$10)*(1-BG$11)*IF(MOD((BG$7-48),12)=0,IF((BG$7-48)=12,BG$12,BG$13)*(1+BG$14),1)</f>
        <v/>
      </c>
      <c r="BH78" s="48">
        <f>BG78*(1+BH$10)*(1-BH$11)*IF(MOD((BH$7-48),12)=0,IF((BH$7-48)=12,BH$12,BH$13)*(1+BH$14),1)</f>
        <v/>
      </c>
      <c r="BI78" s="48">
        <f>BH78*(1+BI$10)*(1-BI$11)*IF(MOD((BI$7-48),12)=0,IF((BI$7-48)=12,BI$12,BI$13)*(1+BI$14),1)</f>
        <v/>
      </c>
      <c r="BJ78" s="48">
        <f>BI78*(1+BJ$10)*(1-BJ$11)*IF(MOD((BJ$7-48),12)=0,IF((BJ$7-48)=12,BJ$12,BJ$13)*(1+BJ$14),1)</f>
        <v/>
      </c>
      <c r="BK78" s="48">
        <f>BJ78*(1+BK$10)*(1-BK$11)*IF(MOD((BK$7-48),12)=0,IF((BK$7-48)=12,BK$12,BK$13)*(1+BK$14),1)</f>
        <v/>
      </c>
    </row>
    <row r="79" hidden="1" outlineLevel="1">
      <c r="B79" s="18" t="inlineStr">
        <is>
          <t xml:space="preserve">    Cohort Jan-30</t>
        </is>
      </c>
      <c r="C79" s="19" t="inlineStr">
        <is>
          <t>$</t>
        </is>
      </c>
      <c r="D79" s="48">
        <f>0</f>
        <v/>
      </c>
      <c r="E79" s="48">
        <f>0</f>
        <v/>
      </c>
      <c r="F79" s="48">
        <f>0</f>
        <v/>
      </c>
      <c r="G79" s="48">
        <f>0</f>
        <v/>
      </c>
      <c r="H79" s="48">
        <f>0</f>
        <v/>
      </c>
      <c r="I79" s="48">
        <f>0</f>
        <v/>
      </c>
      <c r="J79" s="48">
        <f>0</f>
        <v/>
      </c>
      <c r="K79" s="48">
        <f>0</f>
        <v/>
      </c>
      <c r="L79" s="48">
        <f>0</f>
        <v/>
      </c>
      <c r="M79" s="48">
        <f>0</f>
        <v/>
      </c>
      <c r="N79" s="48">
        <f>0</f>
        <v/>
      </c>
      <c r="O79" s="48">
        <f>0</f>
        <v/>
      </c>
      <c r="P79" s="48">
        <f>0</f>
        <v/>
      </c>
      <c r="Q79" s="48">
        <f>0</f>
        <v/>
      </c>
      <c r="R79" s="48">
        <f>0</f>
        <v/>
      </c>
      <c r="S79" s="48">
        <f>0</f>
        <v/>
      </c>
      <c r="T79" s="48">
        <f>0</f>
        <v/>
      </c>
      <c r="U79" s="48">
        <f>0</f>
        <v/>
      </c>
      <c r="V79" s="48">
        <f>0</f>
        <v/>
      </c>
      <c r="W79" s="48">
        <f>0</f>
        <v/>
      </c>
      <c r="X79" s="48">
        <f>0</f>
        <v/>
      </c>
      <c r="Y79" s="48">
        <f>0</f>
        <v/>
      </c>
      <c r="Z79" s="48">
        <f>0</f>
        <v/>
      </c>
      <c r="AA79" s="48">
        <f>0</f>
        <v/>
      </c>
      <c r="AB79" s="48">
        <f>0</f>
        <v/>
      </c>
      <c r="AC79" s="48">
        <f>0</f>
        <v/>
      </c>
      <c r="AD79" s="48">
        <f>0</f>
        <v/>
      </c>
      <c r="AE79" s="48">
        <f>0</f>
        <v/>
      </c>
      <c r="AF79" s="48">
        <f>0</f>
        <v/>
      </c>
      <c r="AG79" s="48">
        <f>0</f>
        <v/>
      </c>
      <c r="AH79" s="48">
        <f>0</f>
        <v/>
      </c>
      <c r="AI79" s="48">
        <f>0</f>
        <v/>
      </c>
      <c r="AJ79" s="48">
        <f>0</f>
        <v/>
      </c>
      <c r="AK79" s="48">
        <f>0</f>
        <v/>
      </c>
      <c r="AL79" s="48">
        <f>0</f>
        <v/>
      </c>
      <c r="AM79" s="48">
        <f>0</f>
        <v/>
      </c>
      <c r="AN79" s="48">
        <f>0</f>
        <v/>
      </c>
      <c r="AO79" s="48">
        <f>0</f>
        <v/>
      </c>
      <c r="AP79" s="48">
        <f>0</f>
        <v/>
      </c>
      <c r="AQ79" s="48">
        <f>0</f>
        <v/>
      </c>
      <c r="AR79" s="48">
        <f>0</f>
        <v/>
      </c>
      <c r="AS79" s="48">
        <f>0</f>
        <v/>
      </c>
      <c r="AT79" s="48">
        <f>0</f>
        <v/>
      </c>
      <c r="AU79" s="48">
        <f>0</f>
        <v/>
      </c>
      <c r="AV79" s="48">
        <f>0</f>
        <v/>
      </c>
      <c r="AW79" s="48">
        <f>0</f>
        <v/>
      </c>
      <c r="AX79" s="48">
        <f>0</f>
        <v/>
      </c>
      <c r="AY79" s="48">
        <f>0</f>
        <v/>
      </c>
      <c r="AZ79" s="48">
        <f>'Rev-Capacity'!AZ29</f>
        <v/>
      </c>
      <c r="BA79" s="48">
        <f>AZ79*(1+BA$10)*(1-BA$11)*IF(MOD((BA$7-49),12)=0,IF((BA$7-49)=12,BA$12,BA$13)*(1+BA$14),1)</f>
        <v/>
      </c>
      <c r="BB79" s="48">
        <f>BA79*(1+BB$10)*(1-BB$11)*IF(MOD((BB$7-49),12)=0,IF((BB$7-49)=12,BB$12,BB$13)*(1+BB$14),1)</f>
        <v/>
      </c>
      <c r="BC79" s="48">
        <f>BB79*(1+BC$10)*(1-BC$11)*IF(MOD((BC$7-49),12)=0,IF((BC$7-49)=12,BC$12,BC$13)*(1+BC$14),1)</f>
        <v/>
      </c>
      <c r="BD79" s="48">
        <f>BC79*(1+BD$10)*(1-BD$11)*IF(MOD((BD$7-49),12)=0,IF((BD$7-49)=12,BD$12,BD$13)*(1+BD$14),1)</f>
        <v/>
      </c>
      <c r="BE79" s="48">
        <f>BD79*(1+BE$10)*(1-BE$11)*IF(MOD((BE$7-49),12)=0,IF((BE$7-49)=12,BE$12,BE$13)*(1+BE$14),1)</f>
        <v/>
      </c>
      <c r="BF79" s="48">
        <f>BE79*(1+BF$10)*(1-BF$11)*IF(MOD((BF$7-49),12)=0,IF((BF$7-49)=12,BF$12,BF$13)*(1+BF$14),1)</f>
        <v/>
      </c>
      <c r="BG79" s="48">
        <f>BF79*(1+BG$10)*(1-BG$11)*IF(MOD((BG$7-49),12)=0,IF((BG$7-49)=12,BG$12,BG$13)*(1+BG$14),1)</f>
        <v/>
      </c>
      <c r="BH79" s="48">
        <f>BG79*(1+BH$10)*(1-BH$11)*IF(MOD((BH$7-49),12)=0,IF((BH$7-49)=12,BH$12,BH$13)*(1+BH$14),1)</f>
        <v/>
      </c>
      <c r="BI79" s="48">
        <f>BH79*(1+BI$10)*(1-BI$11)*IF(MOD((BI$7-49),12)=0,IF((BI$7-49)=12,BI$12,BI$13)*(1+BI$14),1)</f>
        <v/>
      </c>
      <c r="BJ79" s="48">
        <f>BI79*(1+BJ$10)*(1-BJ$11)*IF(MOD((BJ$7-49),12)=0,IF((BJ$7-49)=12,BJ$12,BJ$13)*(1+BJ$14),1)</f>
        <v/>
      </c>
      <c r="BK79" s="48">
        <f>BJ79*(1+BK$10)*(1-BK$11)*IF(MOD((BK$7-49),12)=0,IF((BK$7-49)=12,BK$12,BK$13)*(1+BK$14),1)</f>
        <v/>
      </c>
    </row>
    <row r="80" hidden="1" outlineLevel="1">
      <c r="B80" s="18" t="inlineStr">
        <is>
          <t xml:space="preserve">    Cohort Feb-30</t>
        </is>
      </c>
      <c r="C80" s="19" t="inlineStr">
        <is>
          <t>$</t>
        </is>
      </c>
      <c r="D80" s="48">
        <f>0</f>
        <v/>
      </c>
      <c r="E80" s="48">
        <f>0</f>
        <v/>
      </c>
      <c r="F80" s="48">
        <f>0</f>
        <v/>
      </c>
      <c r="G80" s="48">
        <f>0</f>
        <v/>
      </c>
      <c r="H80" s="48">
        <f>0</f>
        <v/>
      </c>
      <c r="I80" s="48">
        <f>0</f>
        <v/>
      </c>
      <c r="J80" s="48">
        <f>0</f>
        <v/>
      </c>
      <c r="K80" s="48">
        <f>0</f>
        <v/>
      </c>
      <c r="L80" s="48">
        <f>0</f>
        <v/>
      </c>
      <c r="M80" s="48">
        <f>0</f>
        <v/>
      </c>
      <c r="N80" s="48">
        <f>0</f>
        <v/>
      </c>
      <c r="O80" s="48">
        <f>0</f>
        <v/>
      </c>
      <c r="P80" s="48">
        <f>0</f>
        <v/>
      </c>
      <c r="Q80" s="48">
        <f>0</f>
        <v/>
      </c>
      <c r="R80" s="48">
        <f>0</f>
        <v/>
      </c>
      <c r="S80" s="48">
        <f>0</f>
        <v/>
      </c>
      <c r="T80" s="48">
        <f>0</f>
        <v/>
      </c>
      <c r="U80" s="48">
        <f>0</f>
        <v/>
      </c>
      <c r="V80" s="48">
        <f>0</f>
        <v/>
      </c>
      <c r="W80" s="48">
        <f>0</f>
        <v/>
      </c>
      <c r="X80" s="48">
        <f>0</f>
        <v/>
      </c>
      <c r="Y80" s="48">
        <f>0</f>
        <v/>
      </c>
      <c r="Z80" s="48">
        <f>0</f>
        <v/>
      </c>
      <c r="AA80" s="48">
        <f>0</f>
        <v/>
      </c>
      <c r="AB80" s="48">
        <f>0</f>
        <v/>
      </c>
      <c r="AC80" s="48">
        <f>0</f>
        <v/>
      </c>
      <c r="AD80" s="48">
        <f>0</f>
        <v/>
      </c>
      <c r="AE80" s="48">
        <f>0</f>
        <v/>
      </c>
      <c r="AF80" s="48">
        <f>0</f>
        <v/>
      </c>
      <c r="AG80" s="48">
        <f>0</f>
        <v/>
      </c>
      <c r="AH80" s="48">
        <f>0</f>
        <v/>
      </c>
      <c r="AI80" s="48">
        <f>0</f>
        <v/>
      </c>
      <c r="AJ80" s="48">
        <f>0</f>
        <v/>
      </c>
      <c r="AK80" s="48">
        <f>0</f>
        <v/>
      </c>
      <c r="AL80" s="48">
        <f>0</f>
        <v/>
      </c>
      <c r="AM80" s="48">
        <f>0</f>
        <v/>
      </c>
      <c r="AN80" s="48">
        <f>0</f>
        <v/>
      </c>
      <c r="AO80" s="48">
        <f>0</f>
        <v/>
      </c>
      <c r="AP80" s="48">
        <f>0</f>
        <v/>
      </c>
      <c r="AQ80" s="48">
        <f>0</f>
        <v/>
      </c>
      <c r="AR80" s="48">
        <f>0</f>
        <v/>
      </c>
      <c r="AS80" s="48">
        <f>0</f>
        <v/>
      </c>
      <c r="AT80" s="48">
        <f>0</f>
        <v/>
      </c>
      <c r="AU80" s="48">
        <f>0</f>
        <v/>
      </c>
      <c r="AV80" s="48">
        <f>0</f>
        <v/>
      </c>
      <c r="AW80" s="48">
        <f>0</f>
        <v/>
      </c>
      <c r="AX80" s="48">
        <f>0</f>
        <v/>
      </c>
      <c r="AY80" s="48">
        <f>0</f>
        <v/>
      </c>
      <c r="AZ80" s="48">
        <f>0</f>
        <v/>
      </c>
      <c r="BA80" s="48">
        <f>'Rev-Capacity'!BA29</f>
        <v/>
      </c>
      <c r="BB80" s="48">
        <f>BA80*(1+BB$10)*(1-BB$11)*IF(MOD((BB$7-50),12)=0,IF((BB$7-50)=12,BB$12,BB$13)*(1+BB$14),1)</f>
        <v/>
      </c>
      <c r="BC80" s="48">
        <f>BB80*(1+BC$10)*(1-BC$11)*IF(MOD((BC$7-50),12)=0,IF((BC$7-50)=12,BC$12,BC$13)*(1+BC$14),1)</f>
        <v/>
      </c>
      <c r="BD80" s="48">
        <f>BC80*(1+BD$10)*(1-BD$11)*IF(MOD((BD$7-50),12)=0,IF((BD$7-50)=12,BD$12,BD$13)*(1+BD$14),1)</f>
        <v/>
      </c>
      <c r="BE80" s="48">
        <f>BD80*(1+BE$10)*(1-BE$11)*IF(MOD((BE$7-50),12)=0,IF((BE$7-50)=12,BE$12,BE$13)*(1+BE$14),1)</f>
        <v/>
      </c>
      <c r="BF80" s="48">
        <f>BE80*(1+BF$10)*(1-BF$11)*IF(MOD((BF$7-50),12)=0,IF((BF$7-50)=12,BF$12,BF$13)*(1+BF$14),1)</f>
        <v/>
      </c>
      <c r="BG80" s="48">
        <f>BF80*(1+BG$10)*(1-BG$11)*IF(MOD((BG$7-50),12)=0,IF((BG$7-50)=12,BG$12,BG$13)*(1+BG$14),1)</f>
        <v/>
      </c>
      <c r="BH80" s="48">
        <f>BG80*(1+BH$10)*(1-BH$11)*IF(MOD((BH$7-50),12)=0,IF((BH$7-50)=12,BH$12,BH$13)*(1+BH$14),1)</f>
        <v/>
      </c>
      <c r="BI80" s="48">
        <f>BH80*(1+BI$10)*(1-BI$11)*IF(MOD((BI$7-50),12)=0,IF((BI$7-50)=12,BI$12,BI$13)*(1+BI$14),1)</f>
        <v/>
      </c>
      <c r="BJ80" s="48">
        <f>BI80*(1+BJ$10)*(1-BJ$11)*IF(MOD((BJ$7-50),12)=0,IF((BJ$7-50)=12,BJ$12,BJ$13)*(1+BJ$14),1)</f>
        <v/>
      </c>
      <c r="BK80" s="48">
        <f>BJ80*(1+BK$10)*(1-BK$11)*IF(MOD((BK$7-50),12)=0,IF((BK$7-50)=12,BK$12,BK$13)*(1+BK$14),1)</f>
        <v/>
      </c>
    </row>
    <row r="81" hidden="1" outlineLevel="1">
      <c r="B81" s="18" t="inlineStr">
        <is>
          <t xml:space="preserve">    Cohort Mar-30</t>
        </is>
      </c>
      <c r="C81" s="19" t="inlineStr">
        <is>
          <t>$</t>
        </is>
      </c>
      <c r="D81" s="48">
        <f>0</f>
        <v/>
      </c>
      <c r="E81" s="48">
        <f>0</f>
        <v/>
      </c>
      <c r="F81" s="48">
        <f>0</f>
        <v/>
      </c>
      <c r="G81" s="48">
        <f>0</f>
        <v/>
      </c>
      <c r="H81" s="48">
        <f>0</f>
        <v/>
      </c>
      <c r="I81" s="48">
        <f>0</f>
        <v/>
      </c>
      <c r="J81" s="48">
        <f>0</f>
        <v/>
      </c>
      <c r="K81" s="48">
        <f>0</f>
        <v/>
      </c>
      <c r="L81" s="48">
        <f>0</f>
        <v/>
      </c>
      <c r="M81" s="48">
        <f>0</f>
        <v/>
      </c>
      <c r="N81" s="48">
        <f>0</f>
        <v/>
      </c>
      <c r="O81" s="48">
        <f>0</f>
        <v/>
      </c>
      <c r="P81" s="48">
        <f>0</f>
        <v/>
      </c>
      <c r="Q81" s="48">
        <f>0</f>
        <v/>
      </c>
      <c r="R81" s="48">
        <f>0</f>
        <v/>
      </c>
      <c r="S81" s="48">
        <f>0</f>
        <v/>
      </c>
      <c r="T81" s="48">
        <f>0</f>
        <v/>
      </c>
      <c r="U81" s="48">
        <f>0</f>
        <v/>
      </c>
      <c r="V81" s="48">
        <f>0</f>
        <v/>
      </c>
      <c r="W81" s="48">
        <f>0</f>
        <v/>
      </c>
      <c r="X81" s="48">
        <f>0</f>
        <v/>
      </c>
      <c r="Y81" s="48">
        <f>0</f>
        <v/>
      </c>
      <c r="Z81" s="48">
        <f>0</f>
        <v/>
      </c>
      <c r="AA81" s="48">
        <f>0</f>
        <v/>
      </c>
      <c r="AB81" s="48">
        <f>0</f>
        <v/>
      </c>
      <c r="AC81" s="48">
        <f>0</f>
        <v/>
      </c>
      <c r="AD81" s="48">
        <f>0</f>
        <v/>
      </c>
      <c r="AE81" s="48">
        <f>0</f>
        <v/>
      </c>
      <c r="AF81" s="48">
        <f>0</f>
        <v/>
      </c>
      <c r="AG81" s="48">
        <f>0</f>
        <v/>
      </c>
      <c r="AH81" s="48">
        <f>0</f>
        <v/>
      </c>
      <c r="AI81" s="48">
        <f>0</f>
        <v/>
      </c>
      <c r="AJ81" s="48">
        <f>0</f>
        <v/>
      </c>
      <c r="AK81" s="48">
        <f>0</f>
        <v/>
      </c>
      <c r="AL81" s="48">
        <f>0</f>
        <v/>
      </c>
      <c r="AM81" s="48">
        <f>0</f>
        <v/>
      </c>
      <c r="AN81" s="48">
        <f>0</f>
        <v/>
      </c>
      <c r="AO81" s="48">
        <f>0</f>
        <v/>
      </c>
      <c r="AP81" s="48">
        <f>0</f>
        <v/>
      </c>
      <c r="AQ81" s="48">
        <f>0</f>
        <v/>
      </c>
      <c r="AR81" s="48">
        <f>0</f>
        <v/>
      </c>
      <c r="AS81" s="48">
        <f>0</f>
        <v/>
      </c>
      <c r="AT81" s="48">
        <f>0</f>
        <v/>
      </c>
      <c r="AU81" s="48">
        <f>0</f>
        <v/>
      </c>
      <c r="AV81" s="48">
        <f>0</f>
        <v/>
      </c>
      <c r="AW81" s="48">
        <f>0</f>
        <v/>
      </c>
      <c r="AX81" s="48">
        <f>0</f>
        <v/>
      </c>
      <c r="AY81" s="48">
        <f>0</f>
        <v/>
      </c>
      <c r="AZ81" s="48">
        <f>0</f>
        <v/>
      </c>
      <c r="BA81" s="48">
        <f>0</f>
        <v/>
      </c>
      <c r="BB81" s="48">
        <f>'Rev-Capacity'!BB29</f>
        <v/>
      </c>
      <c r="BC81" s="48">
        <f>BB81*(1+BC$10)*(1-BC$11)*IF(MOD((BC$7-51),12)=0,IF((BC$7-51)=12,BC$12,BC$13)*(1+BC$14),1)</f>
        <v/>
      </c>
      <c r="BD81" s="48">
        <f>BC81*(1+BD$10)*(1-BD$11)*IF(MOD((BD$7-51),12)=0,IF((BD$7-51)=12,BD$12,BD$13)*(1+BD$14),1)</f>
        <v/>
      </c>
      <c r="BE81" s="48">
        <f>BD81*(1+BE$10)*(1-BE$11)*IF(MOD((BE$7-51),12)=0,IF((BE$7-51)=12,BE$12,BE$13)*(1+BE$14),1)</f>
        <v/>
      </c>
      <c r="BF81" s="48">
        <f>BE81*(1+BF$10)*(1-BF$11)*IF(MOD((BF$7-51),12)=0,IF((BF$7-51)=12,BF$12,BF$13)*(1+BF$14),1)</f>
        <v/>
      </c>
      <c r="BG81" s="48">
        <f>BF81*(1+BG$10)*(1-BG$11)*IF(MOD((BG$7-51),12)=0,IF((BG$7-51)=12,BG$12,BG$13)*(1+BG$14),1)</f>
        <v/>
      </c>
      <c r="BH81" s="48">
        <f>BG81*(1+BH$10)*(1-BH$11)*IF(MOD((BH$7-51),12)=0,IF((BH$7-51)=12,BH$12,BH$13)*(1+BH$14),1)</f>
        <v/>
      </c>
      <c r="BI81" s="48">
        <f>BH81*(1+BI$10)*(1-BI$11)*IF(MOD((BI$7-51),12)=0,IF((BI$7-51)=12,BI$12,BI$13)*(1+BI$14),1)</f>
        <v/>
      </c>
      <c r="BJ81" s="48">
        <f>BI81*(1+BJ$10)*(1-BJ$11)*IF(MOD((BJ$7-51),12)=0,IF((BJ$7-51)=12,BJ$12,BJ$13)*(1+BJ$14),1)</f>
        <v/>
      </c>
      <c r="BK81" s="48">
        <f>BJ81*(1+BK$10)*(1-BK$11)*IF(MOD((BK$7-51),12)=0,IF((BK$7-51)=12,BK$12,BK$13)*(1+BK$14),1)</f>
        <v/>
      </c>
    </row>
    <row r="82" hidden="1" outlineLevel="1">
      <c r="B82" s="18" t="inlineStr">
        <is>
          <t xml:space="preserve">    Cohort Apr-30</t>
        </is>
      </c>
      <c r="C82" s="19" t="inlineStr">
        <is>
          <t>$</t>
        </is>
      </c>
      <c r="D82" s="48">
        <f>0</f>
        <v/>
      </c>
      <c r="E82" s="48">
        <f>0</f>
        <v/>
      </c>
      <c r="F82" s="48">
        <f>0</f>
        <v/>
      </c>
      <c r="G82" s="48">
        <f>0</f>
        <v/>
      </c>
      <c r="H82" s="48">
        <f>0</f>
        <v/>
      </c>
      <c r="I82" s="48">
        <f>0</f>
        <v/>
      </c>
      <c r="J82" s="48">
        <f>0</f>
        <v/>
      </c>
      <c r="K82" s="48">
        <f>0</f>
        <v/>
      </c>
      <c r="L82" s="48">
        <f>0</f>
        <v/>
      </c>
      <c r="M82" s="48">
        <f>0</f>
        <v/>
      </c>
      <c r="N82" s="48">
        <f>0</f>
        <v/>
      </c>
      <c r="O82" s="48">
        <f>0</f>
        <v/>
      </c>
      <c r="P82" s="48">
        <f>0</f>
        <v/>
      </c>
      <c r="Q82" s="48">
        <f>0</f>
        <v/>
      </c>
      <c r="R82" s="48">
        <f>0</f>
        <v/>
      </c>
      <c r="S82" s="48">
        <f>0</f>
        <v/>
      </c>
      <c r="T82" s="48">
        <f>0</f>
        <v/>
      </c>
      <c r="U82" s="48">
        <f>0</f>
        <v/>
      </c>
      <c r="V82" s="48">
        <f>0</f>
        <v/>
      </c>
      <c r="W82" s="48">
        <f>0</f>
        <v/>
      </c>
      <c r="X82" s="48">
        <f>0</f>
        <v/>
      </c>
      <c r="Y82" s="48">
        <f>0</f>
        <v/>
      </c>
      <c r="Z82" s="48">
        <f>0</f>
        <v/>
      </c>
      <c r="AA82" s="48">
        <f>0</f>
        <v/>
      </c>
      <c r="AB82" s="48">
        <f>0</f>
        <v/>
      </c>
      <c r="AC82" s="48">
        <f>0</f>
        <v/>
      </c>
      <c r="AD82" s="48">
        <f>0</f>
        <v/>
      </c>
      <c r="AE82" s="48">
        <f>0</f>
        <v/>
      </c>
      <c r="AF82" s="48">
        <f>0</f>
        <v/>
      </c>
      <c r="AG82" s="48">
        <f>0</f>
        <v/>
      </c>
      <c r="AH82" s="48">
        <f>0</f>
        <v/>
      </c>
      <c r="AI82" s="48">
        <f>0</f>
        <v/>
      </c>
      <c r="AJ82" s="48">
        <f>0</f>
        <v/>
      </c>
      <c r="AK82" s="48">
        <f>0</f>
        <v/>
      </c>
      <c r="AL82" s="48">
        <f>0</f>
        <v/>
      </c>
      <c r="AM82" s="48">
        <f>0</f>
        <v/>
      </c>
      <c r="AN82" s="48">
        <f>0</f>
        <v/>
      </c>
      <c r="AO82" s="48">
        <f>0</f>
        <v/>
      </c>
      <c r="AP82" s="48">
        <f>0</f>
        <v/>
      </c>
      <c r="AQ82" s="48">
        <f>0</f>
        <v/>
      </c>
      <c r="AR82" s="48">
        <f>0</f>
        <v/>
      </c>
      <c r="AS82" s="48">
        <f>0</f>
        <v/>
      </c>
      <c r="AT82" s="48">
        <f>0</f>
        <v/>
      </c>
      <c r="AU82" s="48">
        <f>0</f>
        <v/>
      </c>
      <c r="AV82" s="48">
        <f>0</f>
        <v/>
      </c>
      <c r="AW82" s="48">
        <f>0</f>
        <v/>
      </c>
      <c r="AX82" s="48">
        <f>0</f>
        <v/>
      </c>
      <c r="AY82" s="48">
        <f>0</f>
        <v/>
      </c>
      <c r="AZ82" s="48">
        <f>0</f>
        <v/>
      </c>
      <c r="BA82" s="48">
        <f>0</f>
        <v/>
      </c>
      <c r="BB82" s="48">
        <f>0</f>
        <v/>
      </c>
      <c r="BC82" s="48">
        <f>'Rev-Capacity'!BC29</f>
        <v/>
      </c>
      <c r="BD82" s="48">
        <f>BC82*(1+BD$10)*(1-BD$11)*IF(MOD((BD$7-52),12)=0,IF((BD$7-52)=12,BD$12,BD$13)*(1+BD$14),1)</f>
        <v/>
      </c>
      <c r="BE82" s="48">
        <f>BD82*(1+BE$10)*(1-BE$11)*IF(MOD((BE$7-52),12)=0,IF((BE$7-52)=12,BE$12,BE$13)*(1+BE$14),1)</f>
        <v/>
      </c>
      <c r="BF82" s="48">
        <f>BE82*(1+BF$10)*(1-BF$11)*IF(MOD((BF$7-52),12)=0,IF((BF$7-52)=12,BF$12,BF$13)*(1+BF$14),1)</f>
        <v/>
      </c>
      <c r="BG82" s="48">
        <f>BF82*(1+BG$10)*(1-BG$11)*IF(MOD((BG$7-52),12)=0,IF((BG$7-52)=12,BG$12,BG$13)*(1+BG$14),1)</f>
        <v/>
      </c>
      <c r="BH82" s="48">
        <f>BG82*(1+BH$10)*(1-BH$11)*IF(MOD((BH$7-52),12)=0,IF((BH$7-52)=12,BH$12,BH$13)*(1+BH$14),1)</f>
        <v/>
      </c>
      <c r="BI82" s="48">
        <f>BH82*(1+BI$10)*(1-BI$11)*IF(MOD((BI$7-52),12)=0,IF((BI$7-52)=12,BI$12,BI$13)*(1+BI$14),1)</f>
        <v/>
      </c>
      <c r="BJ82" s="48">
        <f>BI82*(1+BJ$10)*(1-BJ$11)*IF(MOD((BJ$7-52),12)=0,IF((BJ$7-52)=12,BJ$12,BJ$13)*(1+BJ$14),1)</f>
        <v/>
      </c>
      <c r="BK82" s="48">
        <f>BJ82*(1+BK$10)*(1-BK$11)*IF(MOD((BK$7-52),12)=0,IF((BK$7-52)=12,BK$12,BK$13)*(1+BK$14),1)</f>
        <v/>
      </c>
    </row>
    <row r="83" hidden="1" outlineLevel="1">
      <c r="B83" s="18" t="inlineStr">
        <is>
          <t xml:space="preserve">    Cohort May-30</t>
        </is>
      </c>
      <c r="C83" s="19" t="inlineStr">
        <is>
          <t>$</t>
        </is>
      </c>
      <c r="D83" s="48">
        <f>0</f>
        <v/>
      </c>
      <c r="E83" s="48">
        <f>0</f>
        <v/>
      </c>
      <c r="F83" s="48">
        <f>0</f>
        <v/>
      </c>
      <c r="G83" s="48">
        <f>0</f>
        <v/>
      </c>
      <c r="H83" s="48">
        <f>0</f>
        <v/>
      </c>
      <c r="I83" s="48">
        <f>0</f>
        <v/>
      </c>
      <c r="J83" s="48">
        <f>0</f>
        <v/>
      </c>
      <c r="K83" s="48">
        <f>0</f>
        <v/>
      </c>
      <c r="L83" s="48">
        <f>0</f>
        <v/>
      </c>
      <c r="M83" s="48">
        <f>0</f>
        <v/>
      </c>
      <c r="N83" s="48">
        <f>0</f>
        <v/>
      </c>
      <c r="O83" s="48">
        <f>0</f>
        <v/>
      </c>
      <c r="P83" s="48">
        <f>0</f>
        <v/>
      </c>
      <c r="Q83" s="48">
        <f>0</f>
        <v/>
      </c>
      <c r="R83" s="48">
        <f>0</f>
        <v/>
      </c>
      <c r="S83" s="48">
        <f>0</f>
        <v/>
      </c>
      <c r="T83" s="48">
        <f>0</f>
        <v/>
      </c>
      <c r="U83" s="48">
        <f>0</f>
        <v/>
      </c>
      <c r="V83" s="48">
        <f>0</f>
        <v/>
      </c>
      <c r="W83" s="48">
        <f>0</f>
        <v/>
      </c>
      <c r="X83" s="48">
        <f>0</f>
        <v/>
      </c>
      <c r="Y83" s="48">
        <f>0</f>
        <v/>
      </c>
      <c r="Z83" s="48">
        <f>0</f>
        <v/>
      </c>
      <c r="AA83" s="48">
        <f>0</f>
        <v/>
      </c>
      <c r="AB83" s="48">
        <f>0</f>
        <v/>
      </c>
      <c r="AC83" s="48">
        <f>0</f>
        <v/>
      </c>
      <c r="AD83" s="48">
        <f>0</f>
        <v/>
      </c>
      <c r="AE83" s="48">
        <f>0</f>
        <v/>
      </c>
      <c r="AF83" s="48">
        <f>0</f>
        <v/>
      </c>
      <c r="AG83" s="48">
        <f>0</f>
        <v/>
      </c>
      <c r="AH83" s="48">
        <f>0</f>
        <v/>
      </c>
      <c r="AI83" s="48">
        <f>0</f>
        <v/>
      </c>
      <c r="AJ83" s="48">
        <f>0</f>
        <v/>
      </c>
      <c r="AK83" s="48">
        <f>0</f>
        <v/>
      </c>
      <c r="AL83" s="48">
        <f>0</f>
        <v/>
      </c>
      <c r="AM83" s="48">
        <f>0</f>
        <v/>
      </c>
      <c r="AN83" s="48">
        <f>0</f>
        <v/>
      </c>
      <c r="AO83" s="48">
        <f>0</f>
        <v/>
      </c>
      <c r="AP83" s="48">
        <f>0</f>
        <v/>
      </c>
      <c r="AQ83" s="48">
        <f>0</f>
        <v/>
      </c>
      <c r="AR83" s="48">
        <f>0</f>
        <v/>
      </c>
      <c r="AS83" s="48">
        <f>0</f>
        <v/>
      </c>
      <c r="AT83" s="48">
        <f>0</f>
        <v/>
      </c>
      <c r="AU83" s="48">
        <f>0</f>
        <v/>
      </c>
      <c r="AV83" s="48">
        <f>0</f>
        <v/>
      </c>
      <c r="AW83" s="48">
        <f>0</f>
        <v/>
      </c>
      <c r="AX83" s="48">
        <f>0</f>
        <v/>
      </c>
      <c r="AY83" s="48">
        <f>0</f>
        <v/>
      </c>
      <c r="AZ83" s="48">
        <f>0</f>
        <v/>
      </c>
      <c r="BA83" s="48">
        <f>0</f>
        <v/>
      </c>
      <c r="BB83" s="48">
        <f>0</f>
        <v/>
      </c>
      <c r="BC83" s="48">
        <f>0</f>
        <v/>
      </c>
      <c r="BD83" s="48">
        <f>'Rev-Capacity'!BD29</f>
        <v/>
      </c>
      <c r="BE83" s="48">
        <f>BD83*(1+BE$10)*(1-BE$11)*IF(MOD((BE$7-53),12)=0,IF((BE$7-53)=12,BE$12,BE$13)*(1+BE$14),1)</f>
        <v/>
      </c>
      <c r="BF83" s="48">
        <f>BE83*(1+BF$10)*(1-BF$11)*IF(MOD((BF$7-53),12)=0,IF((BF$7-53)=12,BF$12,BF$13)*(1+BF$14),1)</f>
        <v/>
      </c>
      <c r="BG83" s="48">
        <f>BF83*(1+BG$10)*(1-BG$11)*IF(MOD((BG$7-53),12)=0,IF((BG$7-53)=12,BG$12,BG$13)*(1+BG$14),1)</f>
        <v/>
      </c>
      <c r="BH83" s="48">
        <f>BG83*(1+BH$10)*(1-BH$11)*IF(MOD((BH$7-53),12)=0,IF((BH$7-53)=12,BH$12,BH$13)*(1+BH$14),1)</f>
        <v/>
      </c>
      <c r="BI83" s="48">
        <f>BH83*(1+BI$10)*(1-BI$11)*IF(MOD((BI$7-53),12)=0,IF((BI$7-53)=12,BI$12,BI$13)*(1+BI$14),1)</f>
        <v/>
      </c>
      <c r="BJ83" s="48">
        <f>BI83*(1+BJ$10)*(1-BJ$11)*IF(MOD((BJ$7-53),12)=0,IF((BJ$7-53)=12,BJ$12,BJ$13)*(1+BJ$14),1)</f>
        <v/>
      </c>
      <c r="BK83" s="48">
        <f>BJ83*(1+BK$10)*(1-BK$11)*IF(MOD((BK$7-53),12)=0,IF((BK$7-53)=12,BK$12,BK$13)*(1+BK$14),1)</f>
        <v/>
      </c>
    </row>
    <row r="84" hidden="1" outlineLevel="1">
      <c r="B84" s="18" t="inlineStr">
        <is>
          <t xml:space="preserve">    Cohort Jun-30</t>
        </is>
      </c>
      <c r="C84" s="19" t="inlineStr">
        <is>
          <t>$</t>
        </is>
      </c>
      <c r="D84" s="48">
        <f>0</f>
        <v/>
      </c>
      <c r="E84" s="48">
        <f>0</f>
        <v/>
      </c>
      <c r="F84" s="48">
        <f>0</f>
        <v/>
      </c>
      <c r="G84" s="48">
        <f>0</f>
        <v/>
      </c>
      <c r="H84" s="48">
        <f>0</f>
        <v/>
      </c>
      <c r="I84" s="48">
        <f>0</f>
        <v/>
      </c>
      <c r="J84" s="48">
        <f>0</f>
        <v/>
      </c>
      <c r="K84" s="48">
        <f>0</f>
        <v/>
      </c>
      <c r="L84" s="48">
        <f>0</f>
        <v/>
      </c>
      <c r="M84" s="48">
        <f>0</f>
        <v/>
      </c>
      <c r="N84" s="48">
        <f>0</f>
        <v/>
      </c>
      <c r="O84" s="48">
        <f>0</f>
        <v/>
      </c>
      <c r="P84" s="48">
        <f>0</f>
        <v/>
      </c>
      <c r="Q84" s="48">
        <f>0</f>
        <v/>
      </c>
      <c r="R84" s="48">
        <f>0</f>
        <v/>
      </c>
      <c r="S84" s="48">
        <f>0</f>
        <v/>
      </c>
      <c r="T84" s="48">
        <f>0</f>
        <v/>
      </c>
      <c r="U84" s="48">
        <f>0</f>
        <v/>
      </c>
      <c r="V84" s="48">
        <f>0</f>
        <v/>
      </c>
      <c r="W84" s="48">
        <f>0</f>
        <v/>
      </c>
      <c r="X84" s="48">
        <f>0</f>
        <v/>
      </c>
      <c r="Y84" s="48">
        <f>0</f>
        <v/>
      </c>
      <c r="Z84" s="48">
        <f>0</f>
        <v/>
      </c>
      <c r="AA84" s="48">
        <f>0</f>
        <v/>
      </c>
      <c r="AB84" s="48">
        <f>0</f>
        <v/>
      </c>
      <c r="AC84" s="48">
        <f>0</f>
        <v/>
      </c>
      <c r="AD84" s="48">
        <f>0</f>
        <v/>
      </c>
      <c r="AE84" s="48">
        <f>0</f>
        <v/>
      </c>
      <c r="AF84" s="48">
        <f>0</f>
        <v/>
      </c>
      <c r="AG84" s="48">
        <f>0</f>
        <v/>
      </c>
      <c r="AH84" s="48">
        <f>0</f>
        <v/>
      </c>
      <c r="AI84" s="48">
        <f>0</f>
        <v/>
      </c>
      <c r="AJ84" s="48">
        <f>0</f>
        <v/>
      </c>
      <c r="AK84" s="48">
        <f>0</f>
        <v/>
      </c>
      <c r="AL84" s="48">
        <f>0</f>
        <v/>
      </c>
      <c r="AM84" s="48">
        <f>0</f>
        <v/>
      </c>
      <c r="AN84" s="48">
        <f>0</f>
        <v/>
      </c>
      <c r="AO84" s="48">
        <f>0</f>
        <v/>
      </c>
      <c r="AP84" s="48">
        <f>0</f>
        <v/>
      </c>
      <c r="AQ84" s="48">
        <f>0</f>
        <v/>
      </c>
      <c r="AR84" s="48">
        <f>0</f>
        <v/>
      </c>
      <c r="AS84" s="48">
        <f>0</f>
        <v/>
      </c>
      <c r="AT84" s="48">
        <f>0</f>
        <v/>
      </c>
      <c r="AU84" s="48">
        <f>0</f>
        <v/>
      </c>
      <c r="AV84" s="48">
        <f>0</f>
        <v/>
      </c>
      <c r="AW84" s="48">
        <f>0</f>
        <v/>
      </c>
      <c r="AX84" s="48">
        <f>0</f>
        <v/>
      </c>
      <c r="AY84" s="48">
        <f>0</f>
        <v/>
      </c>
      <c r="AZ84" s="48">
        <f>0</f>
        <v/>
      </c>
      <c r="BA84" s="48">
        <f>0</f>
        <v/>
      </c>
      <c r="BB84" s="48">
        <f>0</f>
        <v/>
      </c>
      <c r="BC84" s="48">
        <f>0</f>
        <v/>
      </c>
      <c r="BD84" s="48">
        <f>0</f>
        <v/>
      </c>
      <c r="BE84" s="48">
        <f>'Rev-Capacity'!BE29</f>
        <v/>
      </c>
      <c r="BF84" s="48">
        <f>BE84*(1+BF$10)*(1-BF$11)*IF(MOD((BF$7-54),12)=0,IF((BF$7-54)=12,BF$12,BF$13)*(1+BF$14),1)</f>
        <v/>
      </c>
      <c r="BG84" s="48">
        <f>BF84*(1+BG$10)*(1-BG$11)*IF(MOD((BG$7-54),12)=0,IF((BG$7-54)=12,BG$12,BG$13)*(1+BG$14),1)</f>
        <v/>
      </c>
      <c r="BH84" s="48">
        <f>BG84*(1+BH$10)*(1-BH$11)*IF(MOD((BH$7-54),12)=0,IF((BH$7-54)=12,BH$12,BH$13)*(1+BH$14),1)</f>
        <v/>
      </c>
      <c r="BI84" s="48">
        <f>BH84*(1+BI$10)*(1-BI$11)*IF(MOD((BI$7-54),12)=0,IF((BI$7-54)=12,BI$12,BI$13)*(1+BI$14),1)</f>
        <v/>
      </c>
      <c r="BJ84" s="48">
        <f>BI84*(1+BJ$10)*(1-BJ$11)*IF(MOD((BJ$7-54),12)=0,IF((BJ$7-54)=12,BJ$12,BJ$13)*(1+BJ$14),1)</f>
        <v/>
      </c>
      <c r="BK84" s="48">
        <f>BJ84*(1+BK$10)*(1-BK$11)*IF(MOD((BK$7-54),12)=0,IF((BK$7-54)=12,BK$12,BK$13)*(1+BK$14),1)</f>
        <v/>
      </c>
    </row>
    <row r="85" hidden="1" outlineLevel="1">
      <c r="B85" s="18" t="inlineStr">
        <is>
          <t xml:space="preserve">    Cohort Jul-30</t>
        </is>
      </c>
      <c r="C85" s="19" t="inlineStr">
        <is>
          <t>$</t>
        </is>
      </c>
      <c r="D85" s="48">
        <f>0</f>
        <v/>
      </c>
      <c r="E85" s="48">
        <f>0</f>
        <v/>
      </c>
      <c r="F85" s="48">
        <f>0</f>
        <v/>
      </c>
      <c r="G85" s="48">
        <f>0</f>
        <v/>
      </c>
      <c r="H85" s="48">
        <f>0</f>
        <v/>
      </c>
      <c r="I85" s="48">
        <f>0</f>
        <v/>
      </c>
      <c r="J85" s="48">
        <f>0</f>
        <v/>
      </c>
      <c r="K85" s="48">
        <f>0</f>
        <v/>
      </c>
      <c r="L85" s="48">
        <f>0</f>
        <v/>
      </c>
      <c r="M85" s="48">
        <f>0</f>
        <v/>
      </c>
      <c r="N85" s="48">
        <f>0</f>
        <v/>
      </c>
      <c r="O85" s="48">
        <f>0</f>
        <v/>
      </c>
      <c r="P85" s="48">
        <f>0</f>
        <v/>
      </c>
      <c r="Q85" s="48">
        <f>0</f>
        <v/>
      </c>
      <c r="R85" s="48">
        <f>0</f>
        <v/>
      </c>
      <c r="S85" s="48">
        <f>0</f>
        <v/>
      </c>
      <c r="T85" s="48">
        <f>0</f>
        <v/>
      </c>
      <c r="U85" s="48">
        <f>0</f>
        <v/>
      </c>
      <c r="V85" s="48">
        <f>0</f>
        <v/>
      </c>
      <c r="W85" s="48">
        <f>0</f>
        <v/>
      </c>
      <c r="X85" s="48">
        <f>0</f>
        <v/>
      </c>
      <c r="Y85" s="48">
        <f>0</f>
        <v/>
      </c>
      <c r="Z85" s="48">
        <f>0</f>
        <v/>
      </c>
      <c r="AA85" s="48">
        <f>0</f>
        <v/>
      </c>
      <c r="AB85" s="48">
        <f>0</f>
        <v/>
      </c>
      <c r="AC85" s="48">
        <f>0</f>
        <v/>
      </c>
      <c r="AD85" s="48">
        <f>0</f>
        <v/>
      </c>
      <c r="AE85" s="48">
        <f>0</f>
        <v/>
      </c>
      <c r="AF85" s="48">
        <f>0</f>
        <v/>
      </c>
      <c r="AG85" s="48">
        <f>0</f>
        <v/>
      </c>
      <c r="AH85" s="48">
        <f>0</f>
        <v/>
      </c>
      <c r="AI85" s="48">
        <f>0</f>
        <v/>
      </c>
      <c r="AJ85" s="48">
        <f>0</f>
        <v/>
      </c>
      <c r="AK85" s="48">
        <f>0</f>
        <v/>
      </c>
      <c r="AL85" s="48">
        <f>0</f>
        <v/>
      </c>
      <c r="AM85" s="48">
        <f>0</f>
        <v/>
      </c>
      <c r="AN85" s="48">
        <f>0</f>
        <v/>
      </c>
      <c r="AO85" s="48">
        <f>0</f>
        <v/>
      </c>
      <c r="AP85" s="48">
        <f>0</f>
        <v/>
      </c>
      <c r="AQ85" s="48">
        <f>0</f>
        <v/>
      </c>
      <c r="AR85" s="48">
        <f>0</f>
        <v/>
      </c>
      <c r="AS85" s="48">
        <f>0</f>
        <v/>
      </c>
      <c r="AT85" s="48">
        <f>0</f>
        <v/>
      </c>
      <c r="AU85" s="48">
        <f>0</f>
        <v/>
      </c>
      <c r="AV85" s="48">
        <f>0</f>
        <v/>
      </c>
      <c r="AW85" s="48">
        <f>0</f>
        <v/>
      </c>
      <c r="AX85" s="48">
        <f>0</f>
        <v/>
      </c>
      <c r="AY85" s="48">
        <f>0</f>
        <v/>
      </c>
      <c r="AZ85" s="48">
        <f>0</f>
        <v/>
      </c>
      <c r="BA85" s="48">
        <f>0</f>
        <v/>
      </c>
      <c r="BB85" s="48">
        <f>0</f>
        <v/>
      </c>
      <c r="BC85" s="48">
        <f>0</f>
        <v/>
      </c>
      <c r="BD85" s="48">
        <f>0</f>
        <v/>
      </c>
      <c r="BE85" s="48">
        <f>0</f>
        <v/>
      </c>
      <c r="BF85" s="48">
        <f>'Rev-Capacity'!BF29</f>
        <v/>
      </c>
      <c r="BG85" s="48">
        <f>BF85*(1+BG$10)*(1-BG$11)*IF(MOD((BG$7-55),12)=0,IF((BG$7-55)=12,BG$12,BG$13)*(1+BG$14),1)</f>
        <v/>
      </c>
      <c r="BH85" s="48">
        <f>BG85*(1+BH$10)*(1-BH$11)*IF(MOD((BH$7-55),12)=0,IF((BH$7-55)=12,BH$12,BH$13)*(1+BH$14),1)</f>
        <v/>
      </c>
      <c r="BI85" s="48">
        <f>BH85*(1+BI$10)*(1-BI$11)*IF(MOD((BI$7-55),12)=0,IF((BI$7-55)=12,BI$12,BI$13)*(1+BI$14),1)</f>
        <v/>
      </c>
      <c r="BJ85" s="48">
        <f>BI85*(1+BJ$10)*(1-BJ$11)*IF(MOD((BJ$7-55),12)=0,IF((BJ$7-55)=12,BJ$12,BJ$13)*(1+BJ$14),1)</f>
        <v/>
      </c>
      <c r="BK85" s="48">
        <f>BJ85*(1+BK$10)*(1-BK$11)*IF(MOD((BK$7-55),12)=0,IF((BK$7-55)=12,BK$12,BK$13)*(1+BK$14),1)</f>
        <v/>
      </c>
    </row>
    <row r="86" hidden="1" outlineLevel="1">
      <c r="B86" s="18" t="inlineStr">
        <is>
          <t xml:space="preserve">    Cohort Aug-30</t>
        </is>
      </c>
      <c r="C86" s="19" t="inlineStr">
        <is>
          <t>$</t>
        </is>
      </c>
      <c r="D86" s="48">
        <f>0</f>
        <v/>
      </c>
      <c r="E86" s="48">
        <f>0</f>
        <v/>
      </c>
      <c r="F86" s="48">
        <f>0</f>
        <v/>
      </c>
      <c r="G86" s="48">
        <f>0</f>
        <v/>
      </c>
      <c r="H86" s="48">
        <f>0</f>
        <v/>
      </c>
      <c r="I86" s="48">
        <f>0</f>
        <v/>
      </c>
      <c r="J86" s="48">
        <f>0</f>
        <v/>
      </c>
      <c r="K86" s="48">
        <f>0</f>
        <v/>
      </c>
      <c r="L86" s="48">
        <f>0</f>
        <v/>
      </c>
      <c r="M86" s="48">
        <f>0</f>
        <v/>
      </c>
      <c r="N86" s="48">
        <f>0</f>
        <v/>
      </c>
      <c r="O86" s="48">
        <f>0</f>
        <v/>
      </c>
      <c r="P86" s="48">
        <f>0</f>
        <v/>
      </c>
      <c r="Q86" s="48">
        <f>0</f>
        <v/>
      </c>
      <c r="R86" s="48">
        <f>0</f>
        <v/>
      </c>
      <c r="S86" s="48">
        <f>0</f>
        <v/>
      </c>
      <c r="T86" s="48">
        <f>0</f>
        <v/>
      </c>
      <c r="U86" s="48">
        <f>0</f>
        <v/>
      </c>
      <c r="V86" s="48">
        <f>0</f>
        <v/>
      </c>
      <c r="W86" s="48">
        <f>0</f>
        <v/>
      </c>
      <c r="X86" s="48">
        <f>0</f>
        <v/>
      </c>
      <c r="Y86" s="48">
        <f>0</f>
        <v/>
      </c>
      <c r="Z86" s="48">
        <f>0</f>
        <v/>
      </c>
      <c r="AA86" s="48">
        <f>0</f>
        <v/>
      </c>
      <c r="AB86" s="48">
        <f>0</f>
        <v/>
      </c>
      <c r="AC86" s="48">
        <f>0</f>
        <v/>
      </c>
      <c r="AD86" s="48">
        <f>0</f>
        <v/>
      </c>
      <c r="AE86" s="48">
        <f>0</f>
        <v/>
      </c>
      <c r="AF86" s="48">
        <f>0</f>
        <v/>
      </c>
      <c r="AG86" s="48">
        <f>0</f>
        <v/>
      </c>
      <c r="AH86" s="48">
        <f>0</f>
        <v/>
      </c>
      <c r="AI86" s="48">
        <f>0</f>
        <v/>
      </c>
      <c r="AJ86" s="48">
        <f>0</f>
        <v/>
      </c>
      <c r="AK86" s="48">
        <f>0</f>
        <v/>
      </c>
      <c r="AL86" s="48">
        <f>0</f>
        <v/>
      </c>
      <c r="AM86" s="48">
        <f>0</f>
        <v/>
      </c>
      <c r="AN86" s="48">
        <f>0</f>
        <v/>
      </c>
      <c r="AO86" s="48">
        <f>0</f>
        <v/>
      </c>
      <c r="AP86" s="48">
        <f>0</f>
        <v/>
      </c>
      <c r="AQ86" s="48">
        <f>0</f>
        <v/>
      </c>
      <c r="AR86" s="48">
        <f>0</f>
        <v/>
      </c>
      <c r="AS86" s="48">
        <f>0</f>
        <v/>
      </c>
      <c r="AT86" s="48">
        <f>0</f>
        <v/>
      </c>
      <c r="AU86" s="48">
        <f>0</f>
        <v/>
      </c>
      <c r="AV86" s="48">
        <f>0</f>
        <v/>
      </c>
      <c r="AW86" s="48">
        <f>0</f>
        <v/>
      </c>
      <c r="AX86" s="48">
        <f>0</f>
        <v/>
      </c>
      <c r="AY86" s="48">
        <f>0</f>
        <v/>
      </c>
      <c r="AZ86" s="48">
        <f>0</f>
        <v/>
      </c>
      <c r="BA86" s="48">
        <f>0</f>
        <v/>
      </c>
      <c r="BB86" s="48">
        <f>0</f>
        <v/>
      </c>
      <c r="BC86" s="48">
        <f>0</f>
        <v/>
      </c>
      <c r="BD86" s="48">
        <f>0</f>
        <v/>
      </c>
      <c r="BE86" s="48">
        <f>0</f>
        <v/>
      </c>
      <c r="BF86" s="48">
        <f>0</f>
        <v/>
      </c>
      <c r="BG86" s="48">
        <f>'Rev-Capacity'!BG29</f>
        <v/>
      </c>
      <c r="BH86" s="48">
        <f>BG86*(1+BH$10)*(1-BH$11)*IF(MOD((BH$7-56),12)=0,IF((BH$7-56)=12,BH$12,BH$13)*(1+BH$14),1)</f>
        <v/>
      </c>
      <c r="BI86" s="48">
        <f>BH86*(1+BI$10)*(1-BI$11)*IF(MOD((BI$7-56),12)=0,IF((BI$7-56)=12,BI$12,BI$13)*(1+BI$14),1)</f>
        <v/>
      </c>
      <c r="BJ86" s="48">
        <f>BI86*(1+BJ$10)*(1-BJ$11)*IF(MOD((BJ$7-56),12)=0,IF((BJ$7-56)=12,BJ$12,BJ$13)*(1+BJ$14),1)</f>
        <v/>
      </c>
      <c r="BK86" s="48">
        <f>BJ86*(1+BK$10)*(1-BK$11)*IF(MOD((BK$7-56),12)=0,IF((BK$7-56)=12,BK$12,BK$13)*(1+BK$14),1)</f>
        <v/>
      </c>
    </row>
    <row r="87" hidden="1" outlineLevel="1">
      <c r="B87" s="18" t="inlineStr">
        <is>
          <t xml:space="preserve">    Cohort Sep-30</t>
        </is>
      </c>
      <c r="C87" s="19" t="inlineStr">
        <is>
          <t>$</t>
        </is>
      </c>
      <c r="D87" s="48">
        <f>0</f>
        <v/>
      </c>
      <c r="E87" s="48">
        <f>0</f>
        <v/>
      </c>
      <c r="F87" s="48">
        <f>0</f>
        <v/>
      </c>
      <c r="G87" s="48">
        <f>0</f>
        <v/>
      </c>
      <c r="H87" s="48">
        <f>0</f>
        <v/>
      </c>
      <c r="I87" s="48">
        <f>0</f>
        <v/>
      </c>
      <c r="J87" s="48">
        <f>0</f>
        <v/>
      </c>
      <c r="K87" s="48">
        <f>0</f>
        <v/>
      </c>
      <c r="L87" s="48">
        <f>0</f>
        <v/>
      </c>
      <c r="M87" s="48">
        <f>0</f>
        <v/>
      </c>
      <c r="N87" s="48">
        <f>0</f>
        <v/>
      </c>
      <c r="O87" s="48">
        <f>0</f>
        <v/>
      </c>
      <c r="P87" s="48">
        <f>0</f>
        <v/>
      </c>
      <c r="Q87" s="48">
        <f>0</f>
        <v/>
      </c>
      <c r="R87" s="48">
        <f>0</f>
        <v/>
      </c>
      <c r="S87" s="48">
        <f>0</f>
        <v/>
      </c>
      <c r="T87" s="48">
        <f>0</f>
        <v/>
      </c>
      <c r="U87" s="48">
        <f>0</f>
        <v/>
      </c>
      <c r="V87" s="48">
        <f>0</f>
        <v/>
      </c>
      <c r="W87" s="48">
        <f>0</f>
        <v/>
      </c>
      <c r="X87" s="48">
        <f>0</f>
        <v/>
      </c>
      <c r="Y87" s="48">
        <f>0</f>
        <v/>
      </c>
      <c r="Z87" s="48">
        <f>0</f>
        <v/>
      </c>
      <c r="AA87" s="48">
        <f>0</f>
        <v/>
      </c>
      <c r="AB87" s="48">
        <f>0</f>
        <v/>
      </c>
      <c r="AC87" s="48">
        <f>0</f>
        <v/>
      </c>
      <c r="AD87" s="48">
        <f>0</f>
        <v/>
      </c>
      <c r="AE87" s="48">
        <f>0</f>
        <v/>
      </c>
      <c r="AF87" s="48">
        <f>0</f>
        <v/>
      </c>
      <c r="AG87" s="48">
        <f>0</f>
        <v/>
      </c>
      <c r="AH87" s="48">
        <f>0</f>
        <v/>
      </c>
      <c r="AI87" s="48">
        <f>0</f>
        <v/>
      </c>
      <c r="AJ87" s="48">
        <f>0</f>
        <v/>
      </c>
      <c r="AK87" s="48">
        <f>0</f>
        <v/>
      </c>
      <c r="AL87" s="48">
        <f>0</f>
        <v/>
      </c>
      <c r="AM87" s="48">
        <f>0</f>
        <v/>
      </c>
      <c r="AN87" s="48">
        <f>0</f>
        <v/>
      </c>
      <c r="AO87" s="48">
        <f>0</f>
        <v/>
      </c>
      <c r="AP87" s="48">
        <f>0</f>
        <v/>
      </c>
      <c r="AQ87" s="48">
        <f>0</f>
        <v/>
      </c>
      <c r="AR87" s="48">
        <f>0</f>
        <v/>
      </c>
      <c r="AS87" s="48">
        <f>0</f>
        <v/>
      </c>
      <c r="AT87" s="48">
        <f>0</f>
        <v/>
      </c>
      <c r="AU87" s="48">
        <f>0</f>
        <v/>
      </c>
      <c r="AV87" s="48">
        <f>0</f>
        <v/>
      </c>
      <c r="AW87" s="48">
        <f>0</f>
        <v/>
      </c>
      <c r="AX87" s="48">
        <f>0</f>
        <v/>
      </c>
      <c r="AY87" s="48">
        <f>0</f>
        <v/>
      </c>
      <c r="AZ87" s="48">
        <f>0</f>
        <v/>
      </c>
      <c r="BA87" s="48">
        <f>0</f>
        <v/>
      </c>
      <c r="BB87" s="48">
        <f>0</f>
        <v/>
      </c>
      <c r="BC87" s="48">
        <f>0</f>
        <v/>
      </c>
      <c r="BD87" s="48">
        <f>0</f>
        <v/>
      </c>
      <c r="BE87" s="48">
        <f>0</f>
        <v/>
      </c>
      <c r="BF87" s="48">
        <f>0</f>
        <v/>
      </c>
      <c r="BG87" s="48">
        <f>0</f>
        <v/>
      </c>
      <c r="BH87" s="48">
        <f>'Rev-Capacity'!BH29</f>
        <v/>
      </c>
      <c r="BI87" s="48">
        <f>BH87*(1+BI$10)*(1-BI$11)*IF(MOD((BI$7-57),12)=0,IF((BI$7-57)=12,BI$12,BI$13)*(1+BI$14),1)</f>
        <v/>
      </c>
      <c r="BJ87" s="48">
        <f>BI87*(1+BJ$10)*(1-BJ$11)*IF(MOD((BJ$7-57),12)=0,IF((BJ$7-57)=12,BJ$12,BJ$13)*(1+BJ$14),1)</f>
        <v/>
      </c>
      <c r="BK87" s="48">
        <f>BJ87*(1+BK$10)*(1-BK$11)*IF(MOD((BK$7-57),12)=0,IF((BK$7-57)=12,BK$12,BK$13)*(1+BK$14),1)</f>
        <v/>
      </c>
    </row>
    <row r="88" hidden="1" outlineLevel="1">
      <c r="B88" s="18" t="inlineStr">
        <is>
          <t xml:space="preserve">    Cohort Oct-30</t>
        </is>
      </c>
      <c r="C88" s="19" t="inlineStr">
        <is>
          <t>$</t>
        </is>
      </c>
      <c r="D88" s="48">
        <f>0</f>
        <v/>
      </c>
      <c r="E88" s="48">
        <f>0</f>
        <v/>
      </c>
      <c r="F88" s="48">
        <f>0</f>
        <v/>
      </c>
      <c r="G88" s="48">
        <f>0</f>
        <v/>
      </c>
      <c r="H88" s="48">
        <f>0</f>
        <v/>
      </c>
      <c r="I88" s="48">
        <f>0</f>
        <v/>
      </c>
      <c r="J88" s="48">
        <f>0</f>
        <v/>
      </c>
      <c r="K88" s="48">
        <f>0</f>
        <v/>
      </c>
      <c r="L88" s="48">
        <f>0</f>
        <v/>
      </c>
      <c r="M88" s="48">
        <f>0</f>
        <v/>
      </c>
      <c r="N88" s="48">
        <f>0</f>
        <v/>
      </c>
      <c r="O88" s="48">
        <f>0</f>
        <v/>
      </c>
      <c r="P88" s="48">
        <f>0</f>
        <v/>
      </c>
      <c r="Q88" s="48">
        <f>0</f>
        <v/>
      </c>
      <c r="R88" s="48">
        <f>0</f>
        <v/>
      </c>
      <c r="S88" s="48">
        <f>0</f>
        <v/>
      </c>
      <c r="T88" s="48">
        <f>0</f>
        <v/>
      </c>
      <c r="U88" s="48">
        <f>0</f>
        <v/>
      </c>
      <c r="V88" s="48">
        <f>0</f>
        <v/>
      </c>
      <c r="W88" s="48">
        <f>0</f>
        <v/>
      </c>
      <c r="X88" s="48">
        <f>0</f>
        <v/>
      </c>
      <c r="Y88" s="48">
        <f>0</f>
        <v/>
      </c>
      <c r="Z88" s="48">
        <f>0</f>
        <v/>
      </c>
      <c r="AA88" s="48">
        <f>0</f>
        <v/>
      </c>
      <c r="AB88" s="48">
        <f>0</f>
        <v/>
      </c>
      <c r="AC88" s="48">
        <f>0</f>
        <v/>
      </c>
      <c r="AD88" s="48">
        <f>0</f>
        <v/>
      </c>
      <c r="AE88" s="48">
        <f>0</f>
        <v/>
      </c>
      <c r="AF88" s="48">
        <f>0</f>
        <v/>
      </c>
      <c r="AG88" s="48">
        <f>0</f>
        <v/>
      </c>
      <c r="AH88" s="48">
        <f>0</f>
        <v/>
      </c>
      <c r="AI88" s="48">
        <f>0</f>
        <v/>
      </c>
      <c r="AJ88" s="48">
        <f>0</f>
        <v/>
      </c>
      <c r="AK88" s="48">
        <f>0</f>
        <v/>
      </c>
      <c r="AL88" s="48">
        <f>0</f>
        <v/>
      </c>
      <c r="AM88" s="48">
        <f>0</f>
        <v/>
      </c>
      <c r="AN88" s="48">
        <f>0</f>
        <v/>
      </c>
      <c r="AO88" s="48">
        <f>0</f>
        <v/>
      </c>
      <c r="AP88" s="48">
        <f>0</f>
        <v/>
      </c>
      <c r="AQ88" s="48">
        <f>0</f>
        <v/>
      </c>
      <c r="AR88" s="48">
        <f>0</f>
        <v/>
      </c>
      <c r="AS88" s="48">
        <f>0</f>
        <v/>
      </c>
      <c r="AT88" s="48">
        <f>0</f>
        <v/>
      </c>
      <c r="AU88" s="48">
        <f>0</f>
        <v/>
      </c>
      <c r="AV88" s="48">
        <f>0</f>
        <v/>
      </c>
      <c r="AW88" s="48">
        <f>0</f>
        <v/>
      </c>
      <c r="AX88" s="48">
        <f>0</f>
        <v/>
      </c>
      <c r="AY88" s="48">
        <f>0</f>
        <v/>
      </c>
      <c r="AZ88" s="48">
        <f>0</f>
        <v/>
      </c>
      <c r="BA88" s="48">
        <f>0</f>
        <v/>
      </c>
      <c r="BB88" s="48">
        <f>0</f>
        <v/>
      </c>
      <c r="BC88" s="48">
        <f>0</f>
        <v/>
      </c>
      <c r="BD88" s="48">
        <f>0</f>
        <v/>
      </c>
      <c r="BE88" s="48">
        <f>0</f>
        <v/>
      </c>
      <c r="BF88" s="48">
        <f>0</f>
        <v/>
      </c>
      <c r="BG88" s="48">
        <f>0</f>
        <v/>
      </c>
      <c r="BH88" s="48">
        <f>0</f>
        <v/>
      </c>
      <c r="BI88" s="48">
        <f>'Rev-Capacity'!BI29</f>
        <v/>
      </c>
      <c r="BJ88" s="48">
        <f>BI88*(1+BJ$10)*(1-BJ$11)*IF(MOD((BJ$7-58),12)=0,IF((BJ$7-58)=12,BJ$12,BJ$13)*(1+BJ$14),1)</f>
        <v/>
      </c>
      <c r="BK88" s="48">
        <f>BJ88*(1+BK$10)*(1-BK$11)*IF(MOD((BK$7-58),12)=0,IF((BK$7-58)=12,BK$12,BK$13)*(1+BK$14),1)</f>
        <v/>
      </c>
    </row>
    <row r="89" hidden="1" outlineLevel="1">
      <c r="B89" s="18" t="inlineStr">
        <is>
          <t xml:space="preserve">    Cohort Nov-30</t>
        </is>
      </c>
      <c r="C89" s="19" t="inlineStr">
        <is>
          <t>$</t>
        </is>
      </c>
      <c r="D89" s="48">
        <f>0</f>
        <v/>
      </c>
      <c r="E89" s="48">
        <f>0</f>
        <v/>
      </c>
      <c r="F89" s="48">
        <f>0</f>
        <v/>
      </c>
      <c r="G89" s="48">
        <f>0</f>
        <v/>
      </c>
      <c r="H89" s="48">
        <f>0</f>
        <v/>
      </c>
      <c r="I89" s="48">
        <f>0</f>
        <v/>
      </c>
      <c r="J89" s="48">
        <f>0</f>
        <v/>
      </c>
      <c r="K89" s="48">
        <f>0</f>
        <v/>
      </c>
      <c r="L89" s="48">
        <f>0</f>
        <v/>
      </c>
      <c r="M89" s="48">
        <f>0</f>
        <v/>
      </c>
      <c r="N89" s="48">
        <f>0</f>
        <v/>
      </c>
      <c r="O89" s="48">
        <f>0</f>
        <v/>
      </c>
      <c r="P89" s="48">
        <f>0</f>
        <v/>
      </c>
      <c r="Q89" s="48">
        <f>0</f>
        <v/>
      </c>
      <c r="R89" s="48">
        <f>0</f>
        <v/>
      </c>
      <c r="S89" s="48">
        <f>0</f>
        <v/>
      </c>
      <c r="T89" s="48">
        <f>0</f>
        <v/>
      </c>
      <c r="U89" s="48">
        <f>0</f>
        <v/>
      </c>
      <c r="V89" s="48">
        <f>0</f>
        <v/>
      </c>
      <c r="W89" s="48">
        <f>0</f>
        <v/>
      </c>
      <c r="X89" s="48">
        <f>0</f>
        <v/>
      </c>
      <c r="Y89" s="48">
        <f>0</f>
        <v/>
      </c>
      <c r="Z89" s="48">
        <f>0</f>
        <v/>
      </c>
      <c r="AA89" s="48">
        <f>0</f>
        <v/>
      </c>
      <c r="AB89" s="48">
        <f>0</f>
        <v/>
      </c>
      <c r="AC89" s="48">
        <f>0</f>
        <v/>
      </c>
      <c r="AD89" s="48">
        <f>0</f>
        <v/>
      </c>
      <c r="AE89" s="48">
        <f>0</f>
        <v/>
      </c>
      <c r="AF89" s="48">
        <f>0</f>
        <v/>
      </c>
      <c r="AG89" s="48">
        <f>0</f>
        <v/>
      </c>
      <c r="AH89" s="48">
        <f>0</f>
        <v/>
      </c>
      <c r="AI89" s="48">
        <f>0</f>
        <v/>
      </c>
      <c r="AJ89" s="48">
        <f>0</f>
        <v/>
      </c>
      <c r="AK89" s="48">
        <f>0</f>
        <v/>
      </c>
      <c r="AL89" s="48">
        <f>0</f>
        <v/>
      </c>
      <c r="AM89" s="48">
        <f>0</f>
        <v/>
      </c>
      <c r="AN89" s="48">
        <f>0</f>
        <v/>
      </c>
      <c r="AO89" s="48">
        <f>0</f>
        <v/>
      </c>
      <c r="AP89" s="48">
        <f>0</f>
        <v/>
      </c>
      <c r="AQ89" s="48">
        <f>0</f>
        <v/>
      </c>
      <c r="AR89" s="48">
        <f>0</f>
        <v/>
      </c>
      <c r="AS89" s="48">
        <f>0</f>
        <v/>
      </c>
      <c r="AT89" s="48">
        <f>0</f>
        <v/>
      </c>
      <c r="AU89" s="48">
        <f>0</f>
        <v/>
      </c>
      <c r="AV89" s="48">
        <f>0</f>
        <v/>
      </c>
      <c r="AW89" s="48">
        <f>0</f>
        <v/>
      </c>
      <c r="AX89" s="48">
        <f>0</f>
        <v/>
      </c>
      <c r="AY89" s="48">
        <f>0</f>
        <v/>
      </c>
      <c r="AZ89" s="48">
        <f>0</f>
        <v/>
      </c>
      <c r="BA89" s="48">
        <f>0</f>
        <v/>
      </c>
      <c r="BB89" s="48">
        <f>0</f>
        <v/>
      </c>
      <c r="BC89" s="48">
        <f>0</f>
        <v/>
      </c>
      <c r="BD89" s="48">
        <f>0</f>
        <v/>
      </c>
      <c r="BE89" s="48">
        <f>0</f>
        <v/>
      </c>
      <c r="BF89" s="48">
        <f>0</f>
        <v/>
      </c>
      <c r="BG89" s="48">
        <f>0</f>
        <v/>
      </c>
      <c r="BH89" s="48">
        <f>0</f>
        <v/>
      </c>
      <c r="BI89" s="48">
        <f>0</f>
        <v/>
      </c>
      <c r="BJ89" s="48">
        <f>'Rev-Capacity'!BJ29</f>
        <v/>
      </c>
      <c r="BK89" s="48">
        <f>BJ89*(1+BK$10)*(1-BK$11)*IF(MOD((BK$7-59),12)=0,IF((BK$7-59)=12,BK$12,BK$13)*(1+BK$14),1)</f>
        <v/>
      </c>
    </row>
    <row r="90" hidden="1" outlineLevel="1">
      <c r="B90" s="18" t="inlineStr">
        <is>
          <t xml:space="preserve">    Cohort Dec-30</t>
        </is>
      </c>
      <c r="C90" s="19" t="inlineStr">
        <is>
          <t>$</t>
        </is>
      </c>
      <c r="D90" s="48">
        <f>0</f>
        <v/>
      </c>
      <c r="E90" s="48">
        <f>0</f>
        <v/>
      </c>
      <c r="F90" s="48">
        <f>0</f>
        <v/>
      </c>
      <c r="G90" s="48">
        <f>0</f>
        <v/>
      </c>
      <c r="H90" s="48">
        <f>0</f>
        <v/>
      </c>
      <c r="I90" s="48">
        <f>0</f>
        <v/>
      </c>
      <c r="J90" s="48">
        <f>0</f>
        <v/>
      </c>
      <c r="K90" s="48">
        <f>0</f>
        <v/>
      </c>
      <c r="L90" s="48">
        <f>0</f>
        <v/>
      </c>
      <c r="M90" s="48">
        <f>0</f>
        <v/>
      </c>
      <c r="N90" s="48">
        <f>0</f>
        <v/>
      </c>
      <c r="O90" s="48">
        <f>0</f>
        <v/>
      </c>
      <c r="P90" s="48">
        <f>0</f>
        <v/>
      </c>
      <c r="Q90" s="48">
        <f>0</f>
        <v/>
      </c>
      <c r="R90" s="48">
        <f>0</f>
        <v/>
      </c>
      <c r="S90" s="48">
        <f>0</f>
        <v/>
      </c>
      <c r="T90" s="48">
        <f>0</f>
        <v/>
      </c>
      <c r="U90" s="48">
        <f>0</f>
        <v/>
      </c>
      <c r="V90" s="48">
        <f>0</f>
        <v/>
      </c>
      <c r="W90" s="48">
        <f>0</f>
        <v/>
      </c>
      <c r="X90" s="48">
        <f>0</f>
        <v/>
      </c>
      <c r="Y90" s="48">
        <f>0</f>
        <v/>
      </c>
      <c r="Z90" s="48">
        <f>0</f>
        <v/>
      </c>
      <c r="AA90" s="48">
        <f>0</f>
        <v/>
      </c>
      <c r="AB90" s="48">
        <f>0</f>
        <v/>
      </c>
      <c r="AC90" s="48">
        <f>0</f>
        <v/>
      </c>
      <c r="AD90" s="48">
        <f>0</f>
        <v/>
      </c>
      <c r="AE90" s="48">
        <f>0</f>
        <v/>
      </c>
      <c r="AF90" s="48">
        <f>0</f>
        <v/>
      </c>
      <c r="AG90" s="48">
        <f>0</f>
        <v/>
      </c>
      <c r="AH90" s="48">
        <f>0</f>
        <v/>
      </c>
      <c r="AI90" s="48">
        <f>0</f>
        <v/>
      </c>
      <c r="AJ90" s="48">
        <f>0</f>
        <v/>
      </c>
      <c r="AK90" s="48">
        <f>0</f>
        <v/>
      </c>
      <c r="AL90" s="48">
        <f>0</f>
        <v/>
      </c>
      <c r="AM90" s="48">
        <f>0</f>
        <v/>
      </c>
      <c r="AN90" s="48">
        <f>0</f>
        <v/>
      </c>
      <c r="AO90" s="48">
        <f>0</f>
        <v/>
      </c>
      <c r="AP90" s="48">
        <f>0</f>
        <v/>
      </c>
      <c r="AQ90" s="48">
        <f>0</f>
        <v/>
      </c>
      <c r="AR90" s="48">
        <f>0</f>
        <v/>
      </c>
      <c r="AS90" s="48">
        <f>0</f>
        <v/>
      </c>
      <c r="AT90" s="48">
        <f>0</f>
        <v/>
      </c>
      <c r="AU90" s="48">
        <f>0</f>
        <v/>
      </c>
      <c r="AV90" s="48">
        <f>0</f>
        <v/>
      </c>
      <c r="AW90" s="48">
        <f>0</f>
        <v/>
      </c>
      <c r="AX90" s="48">
        <f>0</f>
        <v/>
      </c>
      <c r="AY90" s="48">
        <f>0</f>
        <v/>
      </c>
      <c r="AZ90" s="48">
        <f>0</f>
        <v/>
      </c>
      <c r="BA90" s="48">
        <f>0</f>
        <v/>
      </c>
      <c r="BB90" s="48">
        <f>0</f>
        <v/>
      </c>
      <c r="BC90" s="48">
        <f>0</f>
        <v/>
      </c>
      <c r="BD90" s="48">
        <f>0</f>
        <v/>
      </c>
      <c r="BE90" s="48">
        <f>0</f>
        <v/>
      </c>
      <c r="BF90" s="48">
        <f>0</f>
        <v/>
      </c>
      <c r="BG90" s="48">
        <f>0</f>
        <v/>
      </c>
      <c r="BH90" s="48">
        <f>0</f>
        <v/>
      </c>
      <c r="BI90" s="48">
        <f>0</f>
        <v/>
      </c>
      <c r="BJ90" s="48">
        <f>0</f>
        <v/>
      </c>
      <c r="BK90" s="48">
        <f>'Rev-Capacity'!BK29</f>
        <v/>
      </c>
    </row>
    <row r="91" collapsed="1"/>
    <row r="92">
      <c r="B92" s="29" t="inlineStr">
        <is>
          <t>Total enterprise core ARR</t>
        </is>
      </c>
      <c r="C92" s="19" t="inlineStr">
        <is>
          <t>$</t>
        </is>
      </c>
      <c r="D92" s="90">
        <f>SUM(D18:D29)+SUM(D31:D90)</f>
        <v/>
      </c>
      <c r="E92" s="90">
        <f>SUM(E18:E29)+SUM(E31:E90)</f>
        <v/>
      </c>
      <c r="F92" s="90">
        <f>SUM(F18:F29)+SUM(F31:F90)</f>
        <v/>
      </c>
      <c r="G92" s="90">
        <f>SUM(G18:G29)+SUM(G31:G90)</f>
        <v/>
      </c>
      <c r="H92" s="90">
        <f>SUM(H18:H29)+SUM(H31:H90)</f>
        <v/>
      </c>
      <c r="I92" s="90">
        <f>SUM(I18:I29)+SUM(I31:I90)</f>
        <v/>
      </c>
      <c r="J92" s="90">
        <f>SUM(J18:J29)+SUM(J31:J90)</f>
        <v/>
      </c>
      <c r="K92" s="90">
        <f>SUM(K18:K29)+SUM(K31:K90)</f>
        <v/>
      </c>
      <c r="L92" s="90">
        <f>SUM(L18:L29)+SUM(L31:L90)</f>
        <v/>
      </c>
      <c r="M92" s="90">
        <f>SUM(M18:M29)+SUM(M31:M90)</f>
        <v/>
      </c>
      <c r="N92" s="90">
        <f>SUM(N18:N29)+SUM(N31:N90)</f>
        <v/>
      </c>
      <c r="O92" s="90">
        <f>SUM(O18:O29)+SUM(O31:O90)</f>
        <v/>
      </c>
      <c r="P92" s="90">
        <f>SUM(P18:P29)+SUM(P31:P90)</f>
        <v/>
      </c>
      <c r="Q92" s="90">
        <f>SUM(Q18:Q29)+SUM(Q31:Q90)</f>
        <v/>
      </c>
      <c r="R92" s="90">
        <f>SUM(R18:R29)+SUM(R31:R90)</f>
        <v/>
      </c>
      <c r="S92" s="90">
        <f>SUM(S18:S29)+SUM(S31:S90)</f>
        <v/>
      </c>
      <c r="T92" s="90">
        <f>SUM(T18:T29)+SUM(T31:T90)</f>
        <v/>
      </c>
      <c r="U92" s="90">
        <f>SUM(U18:U29)+SUM(U31:U90)</f>
        <v/>
      </c>
      <c r="V92" s="90">
        <f>SUM(V18:V29)+SUM(V31:V90)</f>
        <v/>
      </c>
      <c r="W92" s="90">
        <f>SUM(W18:W29)+SUM(W31:W90)</f>
        <v/>
      </c>
      <c r="X92" s="90">
        <f>SUM(X18:X29)+SUM(X31:X90)</f>
        <v/>
      </c>
      <c r="Y92" s="90">
        <f>SUM(Y18:Y29)+SUM(Y31:Y90)</f>
        <v/>
      </c>
      <c r="Z92" s="90">
        <f>SUM(Z18:Z29)+SUM(Z31:Z90)</f>
        <v/>
      </c>
      <c r="AA92" s="90">
        <f>SUM(AA18:AA29)+SUM(AA31:AA90)</f>
        <v/>
      </c>
      <c r="AB92" s="90">
        <f>SUM(AB18:AB29)+SUM(AB31:AB90)</f>
        <v/>
      </c>
      <c r="AC92" s="90">
        <f>SUM(AC18:AC29)+SUM(AC31:AC90)</f>
        <v/>
      </c>
      <c r="AD92" s="90">
        <f>SUM(AD18:AD29)+SUM(AD31:AD90)</f>
        <v/>
      </c>
      <c r="AE92" s="90">
        <f>SUM(AE18:AE29)+SUM(AE31:AE90)</f>
        <v/>
      </c>
      <c r="AF92" s="90">
        <f>SUM(AF18:AF29)+SUM(AF31:AF90)</f>
        <v/>
      </c>
      <c r="AG92" s="90">
        <f>SUM(AG18:AG29)+SUM(AG31:AG90)</f>
        <v/>
      </c>
      <c r="AH92" s="90">
        <f>SUM(AH18:AH29)+SUM(AH31:AH90)</f>
        <v/>
      </c>
      <c r="AI92" s="90">
        <f>SUM(AI18:AI29)+SUM(AI31:AI90)</f>
        <v/>
      </c>
      <c r="AJ92" s="90">
        <f>SUM(AJ18:AJ29)+SUM(AJ31:AJ90)</f>
        <v/>
      </c>
      <c r="AK92" s="90">
        <f>SUM(AK18:AK29)+SUM(AK31:AK90)</f>
        <v/>
      </c>
      <c r="AL92" s="90">
        <f>SUM(AL18:AL29)+SUM(AL31:AL90)</f>
        <v/>
      </c>
      <c r="AM92" s="90">
        <f>SUM(AM18:AM29)+SUM(AM31:AM90)</f>
        <v/>
      </c>
      <c r="AN92" s="90">
        <f>SUM(AN18:AN29)+SUM(AN31:AN90)</f>
        <v/>
      </c>
      <c r="AO92" s="90">
        <f>SUM(AO18:AO29)+SUM(AO31:AO90)</f>
        <v/>
      </c>
      <c r="AP92" s="90">
        <f>SUM(AP18:AP29)+SUM(AP31:AP90)</f>
        <v/>
      </c>
      <c r="AQ92" s="90">
        <f>SUM(AQ18:AQ29)+SUM(AQ31:AQ90)</f>
        <v/>
      </c>
      <c r="AR92" s="90">
        <f>SUM(AR18:AR29)+SUM(AR31:AR90)</f>
        <v/>
      </c>
      <c r="AS92" s="90">
        <f>SUM(AS18:AS29)+SUM(AS31:AS90)</f>
        <v/>
      </c>
      <c r="AT92" s="90">
        <f>SUM(AT18:AT29)+SUM(AT31:AT90)</f>
        <v/>
      </c>
      <c r="AU92" s="90">
        <f>SUM(AU18:AU29)+SUM(AU31:AU90)</f>
        <v/>
      </c>
      <c r="AV92" s="90">
        <f>SUM(AV18:AV29)+SUM(AV31:AV90)</f>
        <v/>
      </c>
      <c r="AW92" s="90">
        <f>SUM(AW18:AW29)+SUM(AW31:AW90)</f>
        <v/>
      </c>
      <c r="AX92" s="90">
        <f>SUM(AX18:AX29)+SUM(AX31:AX90)</f>
        <v/>
      </c>
      <c r="AY92" s="90">
        <f>SUM(AY18:AY29)+SUM(AY31:AY90)</f>
        <v/>
      </c>
      <c r="AZ92" s="90">
        <f>SUM(AZ18:AZ29)+SUM(AZ31:AZ90)</f>
        <v/>
      </c>
      <c r="BA92" s="90">
        <f>SUM(BA18:BA29)+SUM(BA31:BA90)</f>
        <v/>
      </c>
      <c r="BB92" s="90">
        <f>SUM(BB18:BB29)+SUM(BB31:BB90)</f>
        <v/>
      </c>
      <c r="BC92" s="90">
        <f>SUM(BC18:BC29)+SUM(BC31:BC90)</f>
        <v/>
      </c>
      <c r="BD92" s="90">
        <f>SUM(BD18:BD29)+SUM(BD31:BD90)</f>
        <v/>
      </c>
      <c r="BE92" s="90">
        <f>SUM(BE18:BE29)+SUM(BE31:BE90)</f>
        <v/>
      </c>
      <c r="BF92" s="90">
        <f>SUM(BF18:BF29)+SUM(BF31:BF90)</f>
        <v/>
      </c>
      <c r="BG92" s="90">
        <f>SUM(BG18:BG29)+SUM(BG31:BG90)</f>
        <v/>
      </c>
      <c r="BH92" s="90">
        <f>SUM(BH18:BH29)+SUM(BH31:BH90)</f>
        <v/>
      </c>
      <c r="BI92" s="90">
        <f>SUM(BI18:BI29)+SUM(BI31:BI90)</f>
        <v/>
      </c>
      <c r="BJ92" s="90">
        <f>SUM(BJ18:BJ29)+SUM(BJ31:BJ90)</f>
        <v/>
      </c>
      <c r="BK92" s="90">
        <f>SUM(BK18:BK29)+SUM(BK31:BK90)</f>
        <v/>
      </c>
      <c r="BM92" s="47">
        <f>O92</f>
        <v/>
      </c>
      <c r="BN92" s="47">
        <f>AA92</f>
        <v/>
      </c>
      <c r="BO92" s="47">
        <f>AM92</f>
        <v/>
      </c>
      <c r="BP92" s="47">
        <f>AY92</f>
        <v/>
      </c>
      <c r="BQ92" s="47">
        <f>BK92</f>
        <v/>
      </c>
    </row>
    <row r="93"/>
    <row r="94">
      <c r="B94" s="3" t="inlineStr">
        <is>
          <t>RENEWAL SCHEDULE</t>
        </is>
      </c>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c r="AY94" s="4" t="n"/>
      <c r="AZ94" s="4" t="n"/>
      <c r="BA94" s="4" t="n"/>
      <c r="BB94" s="4" t="n"/>
      <c r="BC94" s="4" t="n"/>
      <c r="BD94" s="4" t="n"/>
      <c r="BE94" s="4" t="n"/>
      <c r="BF94" s="4" t="n"/>
      <c r="BG94" s="4" t="n"/>
      <c r="BH94" s="4" t="n"/>
      <c r="BI94" s="4" t="n"/>
      <c r="BJ94" s="4" t="n"/>
      <c r="BK94" s="4" t="n"/>
      <c r="BL94" s="4" t="n"/>
      <c r="BM94" s="4" t="n"/>
      <c r="BN94" s="4" t="n"/>
      <c r="BO94" s="4" t="n"/>
      <c r="BP94" s="4" t="n"/>
      <c r="BQ94" s="4" t="n"/>
    </row>
    <row r="95">
      <c r="B95" s="18" t="inlineStr">
        <is>
          <t xml:space="preserve">    ARR reaching its FIRST renewal this month</t>
        </is>
      </c>
      <c r="C95" s="19" t="inlineStr">
        <is>
          <t>$</t>
        </is>
      </c>
      <c r="D95" s="48">
        <f>(Inputs!$D$15/12)*(1+D$10)*(1-D$11)</f>
        <v/>
      </c>
      <c r="E95" s="48">
        <f>(D20)*(1+E$10)*(1-E$11)</f>
        <v/>
      </c>
      <c r="F95" s="48">
        <f>(E21)*(1+F$10)*(1-F$11)</f>
        <v/>
      </c>
      <c r="G95" s="48">
        <f>(F22)*(1+G$10)*(1-G$11)</f>
        <v/>
      </c>
      <c r="H95" s="48">
        <f>(G23)*(1+H$10)*(1-H$11)</f>
        <v/>
      </c>
      <c r="I95" s="48">
        <f>(H24)*(1+I$10)*(1-I$11)</f>
        <v/>
      </c>
      <c r="J95" s="48">
        <f>(I25)*(1+J$10)*(1-J$11)</f>
        <v/>
      </c>
      <c r="K95" s="48">
        <f>(J26)*(1+K$10)*(1-K$11)</f>
        <v/>
      </c>
      <c r="L95" s="48">
        <f>(K27)*(1+L$10)*(1-L$11)</f>
        <v/>
      </c>
      <c r="M95" s="48">
        <f>(L28)*(1+M$10)*(1-M$11)</f>
        <v/>
      </c>
      <c r="N95" s="48">
        <f>(M29)*(1+N$10)*(1-N$11)</f>
        <v/>
      </c>
      <c r="O95" s="48">
        <f>0</f>
        <v/>
      </c>
      <c r="P95" s="48">
        <f>(O31)*(1+P$10)*(1-P$11)</f>
        <v/>
      </c>
      <c r="Q95" s="48">
        <f>(P32)*(1+Q$10)*(1-Q$11)</f>
        <v/>
      </c>
      <c r="R95" s="48">
        <f>(Q33)*(1+R$10)*(1-R$11)</f>
        <v/>
      </c>
      <c r="S95" s="48">
        <f>(R34)*(1+S$10)*(1-S$11)</f>
        <v/>
      </c>
      <c r="T95" s="48">
        <f>(S35)*(1+T$10)*(1-T$11)</f>
        <v/>
      </c>
      <c r="U95" s="48">
        <f>(T36)*(1+U$10)*(1-U$11)</f>
        <v/>
      </c>
      <c r="V95" s="48">
        <f>(U37)*(1+V$10)*(1-V$11)</f>
        <v/>
      </c>
      <c r="W95" s="48">
        <f>(V38)*(1+W$10)*(1-W$11)</f>
        <v/>
      </c>
      <c r="X95" s="48">
        <f>(W39)*(1+X$10)*(1-X$11)</f>
        <v/>
      </c>
      <c r="Y95" s="48">
        <f>(X40)*(1+Y$10)*(1-Y$11)</f>
        <v/>
      </c>
      <c r="Z95" s="48">
        <f>(Y41)*(1+Z$10)*(1-Z$11)</f>
        <v/>
      </c>
      <c r="AA95" s="48">
        <f>(Z42)*(1+AA$10)*(1-AA$11)</f>
        <v/>
      </c>
      <c r="AB95" s="48">
        <f>(AA43)*(1+AB$10)*(1-AB$11)</f>
        <v/>
      </c>
      <c r="AC95" s="48">
        <f>(AB44)*(1+AC$10)*(1-AC$11)</f>
        <v/>
      </c>
      <c r="AD95" s="48">
        <f>(AC45)*(1+AD$10)*(1-AD$11)</f>
        <v/>
      </c>
      <c r="AE95" s="48">
        <f>(AD46)*(1+AE$10)*(1-AE$11)</f>
        <v/>
      </c>
      <c r="AF95" s="48">
        <f>(AE47)*(1+AF$10)*(1-AF$11)</f>
        <v/>
      </c>
      <c r="AG95" s="48">
        <f>(AF48)*(1+AG$10)*(1-AG$11)</f>
        <v/>
      </c>
      <c r="AH95" s="48">
        <f>(AG49)*(1+AH$10)*(1-AH$11)</f>
        <v/>
      </c>
      <c r="AI95" s="48">
        <f>(AH50)*(1+AI$10)*(1-AI$11)</f>
        <v/>
      </c>
      <c r="AJ95" s="48">
        <f>(AI51)*(1+AJ$10)*(1-AJ$11)</f>
        <v/>
      </c>
      <c r="AK95" s="48">
        <f>(AJ52)*(1+AK$10)*(1-AK$11)</f>
        <v/>
      </c>
      <c r="AL95" s="48">
        <f>(AK53)*(1+AL$10)*(1-AL$11)</f>
        <v/>
      </c>
      <c r="AM95" s="48">
        <f>(AL54)*(1+AM$10)*(1-AM$11)</f>
        <v/>
      </c>
      <c r="AN95" s="48">
        <f>(AM55)*(1+AN$10)*(1-AN$11)</f>
        <v/>
      </c>
      <c r="AO95" s="48">
        <f>(AN56)*(1+AO$10)*(1-AO$11)</f>
        <v/>
      </c>
      <c r="AP95" s="48">
        <f>(AO57)*(1+AP$10)*(1-AP$11)</f>
        <v/>
      </c>
      <c r="AQ95" s="48">
        <f>(AP58)*(1+AQ$10)*(1-AQ$11)</f>
        <v/>
      </c>
      <c r="AR95" s="48">
        <f>(AQ59)*(1+AR$10)*(1-AR$11)</f>
        <v/>
      </c>
      <c r="AS95" s="48">
        <f>(AR60)*(1+AS$10)*(1-AS$11)</f>
        <v/>
      </c>
      <c r="AT95" s="48">
        <f>(AS61)*(1+AT$10)*(1-AT$11)</f>
        <v/>
      </c>
      <c r="AU95" s="48">
        <f>(AT62)*(1+AU$10)*(1-AU$11)</f>
        <v/>
      </c>
      <c r="AV95" s="48">
        <f>(AU63)*(1+AV$10)*(1-AV$11)</f>
        <v/>
      </c>
      <c r="AW95" s="48">
        <f>(AV64)*(1+AW$10)*(1-AW$11)</f>
        <v/>
      </c>
      <c r="AX95" s="48">
        <f>(AW65)*(1+AX$10)*(1-AX$11)</f>
        <v/>
      </c>
      <c r="AY95" s="48">
        <f>(AX66)*(1+AY$10)*(1-AY$11)</f>
        <v/>
      </c>
      <c r="AZ95" s="48">
        <f>(AY67)*(1+AZ$10)*(1-AZ$11)</f>
        <v/>
      </c>
      <c r="BA95" s="48">
        <f>(AZ68)*(1+BA$10)*(1-BA$11)</f>
        <v/>
      </c>
      <c r="BB95" s="48">
        <f>(BA69)*(1+BB$10)*(1-BB$11)</f>
        <v/>
      </c>
      <c r="BC95" s="48">
        <f>(BB70)*(1+BC$10)*(1-BC$11)</f>
        <v/>
      </c>
      <c r="BD95" s="48">
        <f>(BC71)*(1+BD$10)*(1-BD$11)</f>
        <v/>
      </c>
      <c r="BE95" s="48">
        <f>(BD72)*(1+BE$10)*(1-BE$11)</f>
        <v/>
      </c>
      <c r="BF95" s="48">
        <f>(BE73)*(1+BF$10)*(1-BF$11)</f>
        <v/>
      </c>
      <c r="BG95" s="48">
        <f>(BF74)*(1+BG$10)*(1-BG$11)</f>
        <v/>
      </c>
      <c r="BH95" s="48">
        <f>(BG75)*(1+BH$10)*(1-BH$11)</f>
        <v/>
      </c>
      <c r="BI95" s="48">
        <f>(BH76)*(1+BI$10)*(1-BI$11)</f>
        <v/>
      </c>
      <c r="BJ95" s="48">
        <f>(BI77)*(1+BJ$10)*(1-BJ$11)</f>
        <v/>
      </c>
      <c r="BK95" s="48">
        <f>(BJ78)*(1+BK$10)*(1-BK$11)</f>
        <v/>
      </c>
      <c r="BM95" s="91">
        <f>SUM(D95:O95)</f>
        <v/>
      </c>
      <c r="BN95" s="91">
        <f>SUM(P95:AA95)</f>
        <v/>
      </c>
      <c r="BO95" s="91">
        <f>SUM(AB95:AM95)</f>
        <v/>
      </c>
      <c r="BP95" s="91">
        <f>SUM(AN95:AY95)</f>
        <v/>
      </c>
      <c r="BQ95" s="91">
        <f>SUM(AZ95:BK95)</f>
        <v/>
      </c>
    </row>
    <row r="96">
      <c r="B96" s="18" t="inlineStr">
        <is>
          <t xml:space="preserve">    ARR reaching a LATER renewal this month</t>
        </is>
      </c>
      <c r="C96" s="19" t="inlineStr">
        <is>
          <t>$</t>
        </is>
      </c>
      <c r="D96" s="48">
        <f>0</f>
        <v/>
      </c>
      <c r="E96" s="48">
        <f>0</f>
        <v/>
      </c>
      <c r="F96" s="48">
        <f>0</f>
        <v/>
      </c>
      <c r="G96" s="48">
        <f>0</f>
        <v/>
      </c>
      <c r="H96" s="48">
        <f>0</f>
        <v/>
      </c>
      <c r="I96" s="48">
        <f>0</f>
        <v/>
      </c>
      <c r="J96" s="48">
        <f>0</f>
        <v/>
      </c>
      <c r="K96" s="48">
        <f>0</f>
        <v/>
      </c>
      <c r="L96" s="48">
        <f>0</f>
        <v/>
      </c>
      <c r="M96" s="48">
        <f>0</f>
        <v/>
      </c>
      <c r="N96" s="48">
        <f>0</f>
        <v/>
      </c>
      <c r="O96" s="48">
        <f>(N18)*(1+O$10)*(1-O$11)</f>
        <v/>
      </c>
      <c r="P96" s="48">
        <f>(O19)*(1+P$10)*(1-P$11)</f>
        <v/>
      </c>
      <c r="Q96" s="48">
        <f>(P20)*(1+Q$10)*(1-Q$11)</f>
        <v/>
      </c>
      <c r="R96" s="48">
        <f>(Q21)*(1+R$10)*(1-R$11)</f>
        <v/>
      </c>
      <c r="S96" s="48">
        <f>(R22)*(1+S$10)*(1-S$11)</f>
        <v/>
      </c>
      <c r="T96" s="48">
        <f>(S23)*(1+T$10)*(1-T$11)</f>
        <v/>
      </c>
      <c r="U96" s="48">
        <f>(T24)*(1+U$10)*(1-U$11)</f>
        <v/>
      </c>
      <c r="V96" s="48">
        <f>(U25)*(1+V$10)*(1-V$11)</f>
        <v/>
      </c>
      <c r="W96" s="48">
        <f>(V26)*(1+W$10)*(1-W$11)</f>
        <v/>
      </c>
      <c r="X96" s="48">
        <f>(W27)*(1+X$10)*(1-X$11)</f>
        <v/>
      </c>
      <c r="Y96" s="48">
        <f>(X28)*(1+Y$10)*(1-Y$11)</f>
        <v/>
      </c>
      <c r="Z96" s="48">
        <f>(Y29)*(1+Z$10)*(1-Z$11)</f>
        <v/>
      </c>
      <c r="AA96" s="48">
        <f>(Z18)*(1+AA$10)*(1-AA$11)</f>
        <v/>
      </c>
      <c r="AB96" s="48">
        <f>(AA19+AA31)*(1+AB$10)*(1-AB$11)</f>
        <v/>
      </c>
      <c r="AC96" s="48">
        <f>(AB20+AB32)*(1+AC$10)*(1-AC$11)</f>
        <v/>
      </c>
      <c r="AD96" s="48">
        <f>(AC21+AC33)*(1+AD$10)*(1-AD$11)</f>
        <v/>
      </c>
      <c r="AE96" s="48">
        <f>(AD22+AD34)*(1+AE$10)*(1-AE$11)</f>
        <v/>
      </c>
      <c r="AF96" s="48">
        <f>(AE23+AE35)*(1+AF$10)*(1-AF$11)</f>
        <v/>
      </c>
      <c r="AG96" s="48">
        <f>(AF24+AF36)*(1+AG$10)*(1-AG$11)</f>
        <v/>
      </c>
      <c r="AH96" s="48">
        <f>(AG25+AG37)*(1+AH$10)*(1-AH$11)</f>
        <v/>
      </c>
      <c r="AI96" s="48">
        <f>(AH26+AH38)*(1+AI$10)*(1-AI$11)</f>
        <v/>
      </c>
      <c r="AJ96" s="48">
        <f>(AI27+AI39)*(1+AJ$10)*(1-AJ$11)</f>
        <v/>
      </c>
      <c r="AK96" s="48">
        <f>(AJ28+AJ40)*(1+AK$10)*(1-AK$11)</f>
        <v/>
      </c>
      <c r="AL96" s="48">
        <f>(AK29+AK41)*(1+AL$10)*(1-AL$11)</f>
        <v/>
      </c>
      <c r="AM96" s="48">
        <f>(AL18+AL42)*(1+AM$10)*(1-AM$11)</f>
        <v/>
      </c>
      <c r="AN96" s="48">
        <f>(AM19+AM31+AM43)*(1+AN$10)*(1-AN$11)</f>
        <v/>
      </c>
      <c r="AO96" s="48">
        <f>(AN20+AN32+AN44)*(1+AO$10)*(1-AO$11)</f>
        <v/>
      </c>
      <c r="AP96" s="48">
        <f>(AO21+AO33+AO45)*(1+AP$10)*(1-AP$11)</f>
        <v/>
      </c>
      <c r="AQ96" s="48">
        <f>(AP22+AP34+AP46)*(1+AQ$10)*(1-AQ$11)</f>
        <v/>
      </c>
      <c r="AR96" s="48">
        <f>(AQ23+AQ35+AQ47)*(1+AR$10)*(1-AR$11)</f>
        <v/>
      </c>
      <c r="AS96" s="48">
        <f>(AR24+AR36+AR48)*(1+AS$10)*(1-AS$11)</f>
        <v/>
      </c>
      <c r="AT96" s="48">
        <f>(AS25+AS37+AS49)*(1+AT$10)*(1-AT$11)</f>
        <v/>
      </c>
      <c r="AU96" s="48">
        <f>(AT26+AT38+AT50)*(1+AU$10)*(1-AU$11)</f>
        <v/>
      </c>
      <c r="AV96" s="48">
        <f>(AU27+AU39+AU51)*(1+AV$10)*(1-AV$11)</f>
        <v/>
      </c>
      <c r="AW96" s="48">
        <f>(AV28+AV40+AV52)*(1+AW$10)*(1-AW$11)</f>
        <v/>
      </c>
      <c r="AX96" s="48">
        <f>(AW29+AW41+AW53)*(1+AX$10)*(1-AX$11)</f>
        <v/>
      </c>
      <c r="AY96" s="48">
        <f>(AX18+AX42+AX54)*(1+AY$10)*(1-AY$11)</f>
        <v/>
      </c>
      <c r="AZ96" s="48">
        <f>(AY19+AY31+AY43+AY55)*(1+AZ$10)*(1-AZ$11)</f>
        <v/>
      </c>
      <c r="BA96" s="48">
        <f>(AZ20+AZ32+AZ44+AZ56)*(1+BA$10)*(1-BA$11)</f>
        <v/>
      </c>
      <c r="BB96" s="48">
        <f>(BA21+BA33+BA45+BA57)*(1+BB$10)*(1-BB$11)</f>
        <v/>
      </c>
      <c r="BC96" s="48">
        <f>(BB22+BB34+BB46+BB58)*(1+BC$10)*(1-BC$11)</f>
        <v/>
      </c>
      <c r="BD96" s="48">
        <f>(BC23+BC35+BC47+BC59)*(1+BD$10)*(1-BD$11)</f>
        <v/>
      </c>
      <c r="BE96" s="48">
        <f>(BD24+BD36+BD48+BD60)*(1+BE$10)*(1-BE$11)</f>
        <v/>
      </c>
      <c r="BF96" s="48">
        <f>(BE25+BE37+BE49+BE61)*(1+BF$10)*(1-BF$11)</f>
        <v/>
      </c>
      <c r="BG96" s="48">
        <f>(BF26+BF38+BF50+BF62)*(1+BG$10)*(1-BG$11)</f>
        <v/>
      </c>
      <c r="BH96" s="48">
        <f>(BG27+BG39+BG51+BG63)*(1+BH$10)*(1-BH$11)</f>
        <v/>
      </c>
      <c r="BI96" s="48">
        <f>(BH28+BH40+BH52+BH64)*(1+BI$10)*(1-BI$11)</f>
        <v/>
      </c>
      <c r="BJ96" s="48">
        <f>(BI29+BI41+BI53+BI65)*(1+BJ$10)*(1-BJ$11)</f>
        <v/>
      </c>
      <c r="BK96" s="48">
        <f>(BJ18+BJ42+BJ54+BJ66)*(1+BK$10)*(1-BK$11)</f>
        <v/>
      </c>
      <c r="BM96" s="91">
        <f>SUM(D96:O96)</f>
        <v/>
      </c>
      <c r="BN96" s="91">
        <f>SUM(P96:AA96)</f>
        <v/>
      </c>
      <c r="BO96" s="91">
        <f>SUM(AB96:AM96)</f>
        <v/>
      </c>
      <c r="BP96" s="91">
        <f>SUM(AN96:AY96)</f>
        <v/>
      </c>
      <c r="BQ96" s="91">
        <f>SUM(AZ96:BK96)</f>
        <v/>
      </c>
    </row>
    <row r="97">
      <c r="B97" s="29" t="inlineStr">
        <is>
          <t xml:space="preserve">    Total ARR renewing this month</t>
        </is>
      </c>
      <c r="C97" s="19" t="inlineStr">
        <is>
          <t>$</t>
        </is>
      </c>
      <c r="D97" s="90">
        <f>D95+D96</f>
        <v/>
      </c>
      <c r="E97" s="90">
        <f>E95+E96</f>
        <v/>
      </c>
      <c r="F97" s="90">
        <f>F95+F96</f>
        <v/>
      </c>
      <c r="G97" s="90">
        <f>G95+G96</f>
        <v/>
      </c>
      <c r="H97" s="90">
        <f>H95+H96</f>
        <v/>
      </c>
      <c r="I97" s="90">
        <f>I95+I96</f>
        <v/>
      </c>
      <c r="J97" s="90">
        <f>J95+J96</f>
        <v/>
      </c>
      <c r="K97" s="90">
        <f>K95+K96</f>
        <v/>
      </c>
      <c r="L97" s="90">
        <f>L95+L96</f>
        <v/>
      </c>
      <c r="M97" s="90">
        <f>M95+M96</f>
        <v/>
      </c>
      <c r="N97" s="90">
        <f>N95+N96</f>
        <v/>
      </c>
      <c r="O97" s="90">
        <f>O95+O96</f>
        <v/>
      </c>
      <c r="P97" s="90">
        <f>P95+P96</f>
        <v/>
      </c>
      <c r="Q97" s="90">
        <f>Q95+Q96</f>
        <v/>
      </c>
      <c r="R97" s="90">
        <f>R95+R96</f>
        <v/>
      </c>
      <c r="S97" s="90">
        <f>S95+S96</f>
        <v/>
      </c>
      <c r="T97" s="90">
        <f>T95+T96</f>
        <v/>
      </c>
      <c r="U97" s="90">
        <f>U95+U96</f>
        <v/>
      </c>
      <c r="V97" s="90">
        <f>V95+V96</f>
        <v/>
      </c>
      <c r="W97" s="90">
        <f>W95+W96</f>
        <v/>
      </c>
      <c r="X97" s="90">
        <f>X95+X96</f>
        <v/>
      </c>
      <c r="Y97" s="90">
        <f>Y95+Y96</f>
        <v/>
      </c>
      <c r="Z97" s="90">
        <f>Z95+Z96</f>
        <v/>
      </c>
      <c r="AA97" s="90">
        <f>AA95+AA96</f>
        <v/>
      </c>
      <c r="AB97" s="90">
        <f>AB95+AB96</f>
        <v/>
      </c>
      <c r="AC97" s="90">
        <f>AC95+AC96</f>
        <v/>
      </c>
      <c r="AD97" s="90">
        <f>AD95+AD96</f>
        <v/>
      </c>
      <c r="AE97" s="90">
        <f>AE95+AE96</f>
        <v/>
      </c>
      <c r="AF97" s="90">
        <f>AF95+AF96</f>
        <v/>
      </c>
      <c r="AG97" s="90">
        <f>AG95+AG96</f>
        <v/>
      </c>
      <c r="AH97" s="90">
        <f>AH95+AH96</f>
        <v/>
      </c>
      <c r="AI97" s="90">
        <f>AI95+AI96</f>
        <v/>
      </c>
      <c r="AJ97" s="90">
        <f>AJ95+AJ96</f>
        <v/>
      </c>
      <c r="AK97" s="90">
        <f>AK95+AK96</f>
        <v/>
      </c>
      <c r="AL97" s="90">
        <f>AL95+AL96</f>
        <v/>
      </c>
      <c r="AM97" s="90">
        <f>AM95+AM96</f>
        <v/>
      </c>
      <c r="AN97" s="90">
        <f>AN95+AN96</f>
        <v/>
      </c>
      <c r="AO97" s="90">
        <f>AO95+AO96</f>
        <v/>
      </c>
      <c r="AP97" s="90">
        <f>AP95+AP96</f>
        <v/>
      </c>
      <c r="AQ97" s="90">
        <f>AQ95+AQ96</f>
        <v/>
      </c>
      <c r="AR97" s="90">
        <f>AR95+AR96</f>
        <v/>
      </c>
      <c r="AS97" s="90">
        <f>AS95+AS96</f>
        <v/>
      </c>
      <c r="AT97" s="90">
        <f>AT95+AT96</f>
        <v/>
      </c>
      <c r="AU97" s="90">
        <f>AU95+AU96</f>
        <v/>
      </c>
      <c r="AV97" s="90">
        <f>AV95+AV96</f>
        <v/>
      </c>
      <c r="AW97" s="90">
        <f>AW95+AW96</f>
        <v/>
      </c>
      <c r="AX97" s="90">
        <f>AX95+AX96</f>
        <v/>
      </c>
      <c r="AY97" s="90">
        <f>AY95+AY96</f>
        <v/>
      </c>
      <c r="AZ97" s="90">
        <f>AZ95+AZ96</f>
        <v/>
      </c>
      <c r="BA97" s="90">
        <f>BA95+BA96</f>
        <v/>
      </c>
      <c r="BB97" s="90">
        <f>BB95+BB96</f>
        <v/>
      </c>
      <c r="BC97" s="90">
        <f>BC95+BC96</f>
        <v/>
      </c>
      <c r="BD97" s="90">
        <f>BD95+BD96</f>
        <v/>
      </c>
      <c r="BE97" s="90">
        <f>BE95+BE96</f>
        <v/>
      </c>
      <c r="BF97" s="90">
        <f>BF95+BF96</f>
        <v/>
      </c>
      <c r="BG97" s="90">
        <f>BG95+BG96</f>
        <v/>
      </c>
      <c r="BH97" s="90">
        <f>BH95+BH96</f>
        <v/>
      </c>
      <c r="BI97" s="90">
        <f>BI95+BI96</f>
        <v/>
      </c>
      <c r="BJ97" s="90">
        <f>BJ95+BJ96</f>
        <v/>
      </c>
      <c r="BK97" s="90">
        <f>BK95+BK96</f>
        <v/>
      </c>
      <c r="BM97" s="91">
        <f>SUM(D97:O97)</f>
        <v/>
      </c>
      <c r="BN97" s="91">
        <f>SUM(P97:AA97)</f>
        <v/>
      </c>
      <c r="BO97" s="91">
        <f>SUM(AB97:AM97)</f>
        <v/>
      </c>
      <c r="BP97" s="91">
        <f>SUM(AN97:AY97)</f>
        <v/>
      </c>
      <c r="BQ97" s="91">
        <f>SUM(AZ97:BK97)</f>
        <v/>
      </c>
    </row>
    <row r="98">
      <c r="B98" s="23" t="inlineStr">
        <is>
          <t>Expand the triangle above to trace any single cohort through its renewals.</t>
        </is>
      </c>
    </row>
  </sheetData>
  <pageMargins left="0.75" right="0.75" top="1" bottom="1" header="0.5" footer="0.5"/>
</worksheet>
</file>

<file path=xl/worksheets/sheet5.xml><?xml version="1.0" encoding="utf-8"?>
<worksheet xmlns="http://schemas.openxmlformats.org/spreadsheetml/2006/main">
  <sheetPr>
    <tabColor rgb="FF2E7D32"/>
    <outlinePr summaryBelow="1" summaryRight="1"/>
    <pageSetUpPr/>
  </sheetPr>
  <dimension ref="A1:BQ27"/>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Revenue: ARR Bridge</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ENTERPRISE CORE ARR BRIDGE</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18" t="inlineStr">
        <is>
          <t xml:space="preserve">    Beginning ARR</t>
        </is>
      </c>
      <c r="C10" s="19" t="inlineStr">
        <is>
          <t>$</t>
        </is>
      </c>
      <c r="D10" s="48">
        <f>Inputs!$D$15</f>
        <v/>
      </c>
      <c r="E10" s="48">
        <f>D14</f>
        <v/>
      </c>
      <c r="F10" s="48">
        <f>E14</f>
        <v/>
      </c>
      <c r="G10" s="48">
        <f>F14</f>
        <v/>
      </c>
      <c r="H10" s="48">
        <f>G14</f>
        <v/>
      </c>
      <c r="I10" s="48">
        <f>H14</f>
        <v/>
      </c>
      <c r="J10" s="48">
        <f>I14</f>
        <v/>
      </c>
      <c r="K10" s="48">
        <f>J14</f>
        <v/>
      </c>
      <c r="L10" s="48">
        <f>K14</f>
        <v/>
      </c>
      <c r="M10" s="48">
        <f>L14</f>
        <v/>
      </c>
      <c r="N10" s="48">
        <f>M14</f>
        <v/>
      </c>
      <c r="O10" s="48">
        <f>N14</f>
        <v/>
      </c>
      <c r="P10" s="48">
        <f>O14</f>
        <v/>
      </c>
      <c r="Q10" s="48">
        <f>P14</f>
        <v/>
      </c>
      <c r="R10" s="48">
        <f>Q14</f>
        <v/>
      </c>
      <c r="S10" s="48">
        <f>R14</f>
        <v/>
      </c>
      <c r="T10" s="48">
        <f>S14</f>
        <v/>
      </c>
      <c r="U10" s="48">
        <f>T14</f>
        <v/>
      </c>
      <c r="V10" s="48">
        <f>U14</f>
        <v/>
      </c>
      <c r="W10" s="48">
        <f>V14</f>
        <v/>
      </c>
      <c r="X10" s="48">
        <f>W14</f>
        <v/>
      </c>
      <c r="Y10" s="48">
        <f>X14</f>
        <v/>
      </c>
      <c r="Z10" s="48">
        <f>Y14</f>
        <v/>
      </c>
      <c r="AA10" s="48">
        <f>Z14</f>
        <v/>
      </c>
      <c r="AB10" s="48">
        <f>AA14</f>
        <v/>
      </c>
      <c r="AC10" s="48">
        <f>AB14</f>
        <v/>
      </c>
      <c r="AD10" s="48">
        <f>AC14</f>
        <v/>
      </c>
      <c r="AE10" s="48">
        <f>AD14</f>
        <v/>
      </c>
      <c r="AF10" s="48">
        <f>AE14</f>
        <v/>
      </c>
      <c r="AG10" s="48">
        <f>AF14</f>
        <v/>
      </c>
      <c r="AH10" s="48">
        <f>AG14</f>
        <v/>
      </c>
      <c r="AI10" s="48">
        <f>AH14</f>
        <v/>
      </c>
      <c r="AJ10" s="48">
        <f>AI14</f>
        <v/>
      </c>
      <c r="AK10" s="48">
        <f>AJ14</f>
        <v/>
      </c>
      <c r="AL10" s="48">
        <f>AK14</f>
        <v/>
      </c>
      <c r="AM10" s="48">
        <f>AL14</f>
        <v/>
      </c>
      <c r="AN10" s="48">
        <f>AM14</f>
        <v/>
      </c>
      <c r="AO10" s="48">
        <f>AN14</f>
        <v/>
      </c>
      <c r="AP10" s="48">
        <f>AO14</f>
        <v/>
      </c>
      <c r="AQ10" s="48">
        <f>AP14</f>
        <v/>
      </c>
      <c r="AR10" s="48">
        <f>AQ14</f>
        <v/>
      </c>
      <c r="AS10" s="48">
        <f>AR14</f>
        <v/>
      </c>
      <c r="AT10" s="48">
        <f>AS14</f>
        <v/>
      </c>
      <c r="AU10" s="48">
        <f>AT14</f>
        <v/>
      </c>
      <c r="AV10" s="48">
        <f>AU14</f>
        <v/>
      </c>
      <c r="AW10" s="48">
        <f>AV14</f>
        <v/>
      </c>
      <c r="AX10" s="48">
        <f>AW14</f>
        <v/>
      </c>
      <c r="AY10" s="48">
        <f>AX14</f>
        <v/>
      </c>
      <c r="AZ10" s="48">
        <f>AY14</f>
        <v/>
      </c>
      <c r="BA10" s="48">
        <f>AZ14</f>
        <v/>
      </c>
      <c r="BB10" s="48">
        <f>BA14</f>
        <v/>
      </c>
      <c r="BC10" s="48">
        <f>BB14</f>
        <v/>
      </c>
      <c r="BD10" s="48">
        <f>BC14</f>
        <v/>
      </c>
      <c r="BE10" s="48">
        <f>BD14</f>
        <v/>
      </c>
      <c r="BF10" s="48">
        <f>BE14</f>
        <v/>
      </c>
      <c r="BG10" s="48">
        <f>BF14</f>
        <v/>
      </c>
      <c r="BH10" s="48">
        <f>BG14</f>
        <v/>
      </c>
      <c r="BI10" s="48">
        <f>BH14</f>
        <v/>
      </c>
      <c r="BJ10" s="48">
        <f>BI14</f>
        <v/>
      </c>
      <c r="BK10" s="48">
        <f>BJ14</f>
        <v/>
      </c>
    </row>
    <row r="11">
      <c r="B11" s="18" t="inlineStr">
        <is>
          <t xml:space="preserve">    New ARR</t>
        </is>
      </c>
      <c r="C11" s="19" t="inlineStr">
        <is>
          <t>$</t>
        </is>
      </c>
      <c r="D11" s="51">
        <f>'Rev-Capacity'!D29</f>
        <v/>
      </c>
      <c r="E11" s="51">
        <f>'Rev-Capacity'!E29</f>
        <v/>
      </c>
      <c r="F11" s="51">
        <f>'Rev-Capacity'!F29</f>
        <v/>
      </c>
      <c r="G11" s="51">
        <f>'Rev-Capacity'!G29</f>
        <v/>
      </c>
      <c r="H11" s="51">
        <f>'Rev-Capacity'!H29</f>
        <v/>
      </c>
      <c r="I11" s="51">
        <f>'Rev-Capacity'!I29</f>
        <v/>
      </c>
      <c r="J11" s="51">
        <f>'Rev-Capacity'!J29</f>
        <v/>
      </c>
      <c r="K11" s="51">
        <f>'Rev-Capacity'!K29</f>
        <v/>
      </c>
      <c r="L11" s="51">
        <f>'Rev-Capacity'!L29</f>
        <v/>
      </c>
      <c r="M11" s="51">
        <f>'Rev-Capacity'!M29</f>
        <v/>
      </c>
      <c r="N11" s="51">
        <f>'Rev-Capacity'!N29</f>
        <v/>
      </c>
      <c r="O11" s="51">
        <f>'Rev-Capacity'!O29</f>
        <v/>
      </c>
      <c r="P11" s="51">
        <f>'Rev-Capacity'!P29</f>
        <v/>
      </c>
      <c r="Q11" s="51">
        <f>'Rev-Capacity'!Q29</f>
        <v/>
      </c>
      <c r="R11" s="51">
        <f>'Rev-Capacity'!R29</f>
        <v/>
      </c>
      <c r="S11" s="51">
        <f>'Rev-Capacity'!S29</f>
        <v/>
      </c>
      <c r="T11" s="51">
        <f>'Rev-Capacity'!T29</f>
        <v/>
      </c>
      <c r="U11" s="51">
        <f>'Rev-Capacity'!U29</f>
        <v/>
      </c>
      <c r="V11" s="51">
        <f>'Rev-Capacity'!V29</f>
        <v/>
      </c>
      <c r="W11" s="51">
        <f>'Rev-Capacity'!W29</f>
        <v/>
      </c>
      <c r="X11" s="51">
        <f>'Rev-Capacity'!X29</f>
        <v/>
      </c>
      <c r="Y11" s="51">
        <f>'Rev-Capacity'!Y29</f>
        <v/>
      </c>
      <c r="Z11" s="51">
        <f>'Rev-Capacity'!Z29</f>
        <v/>
      </c>
      <c r="AA11" s="51">
        <f>'Rev-Capacity'!AA29</f>
        <v/>
      </c>
      <c r="AB11" s="51">
        <f>'Rev-Capacity'!AB29</f>
        <v/>
      </c>
      <c r="AC11" s="51">
        <f>'Rev-Capacity'!AC29</f>
        <v/>
      </c>
      <c r="AD11" s="51">
        <f>'Rev-Capacity'!AD29</f>
        <v/>
      </c>
      <c r="AE11" s="51">
        <f>'Rev-Capacity'!AE29</f>
        <v/>
      </c>
      <c r="AF11" s="51">
        <f>'Rev-Capacity'!AF29</f>
        <v/>
      </c>
      <c r="AG11" s="51">
        <f>'Rev-Capacity'!AG29</f>
        <v/>
      </c>
      <c r="AH11" s="51">
        <f>'Rev-Capacity'!AH29</f>
        <v/>
      </c>
      <c r="AI11" s="51">
        <f>'Rev-Capacity'!AI29</f>
        <v/>
      </c>
      <c r="AJ11" s="51">
        <f>'Rev-Capacity'!AJ29</f>
        <v/>
      </c>
      <c r="AK11" s="51">
        <f>'Rev-Capacity'!AK29</f>
        <v/>
      </c>
      <c r="AL11" s="51">
        <f>'Rev-Capacity'!AL29</f>
        <v/>
      </c>
      <c r="AM11" s="51">
        <f>'Rev-Capacity'!AM29</f>
        <v/>
      </c>
      <c r="AN11" s="51">
        <f>'Rev-Capacity'!AN29</f>
        <v/>
      </c>
      <c r="AO11" s="51">
        <f>'Rev-Capacity'!AO29</f>
        <v/>
      </c>
      <c r="AP11" s="51">
        <f>'Rev-Capacity'!AP29</f>
        <v/>
      </c>
      <c r="AQ11" s="51">
        <f>'Rev-Capacity'!AQ29</f>
        <v/>
      </c>
      <c r="AR11" s="51">
        <f>'Rev-Capacity'!AR29</f>
        <v/>
      </c>
      <c r="AS11" s="51">
        <f>'Rev-Capacity'!AS29</f>
        <v/>
      </c>
      <c r="AT11" s="51">
        <f>'Rev-Capacity'!AT29</f>
        <v/>
      </c>
      <c r="AU11" s="51">
        <f>'Rev-Capacity'!AU29</f>
        <v/>
      </c>
      <c r="AV11" s="51">
        <f>'Rev-Capacity'!AV29</f>
        <v/>
      </c>
      <c r="AW11" s="51">
        <f>'Rev-Capacity'!AW29</f>
        <v/>
      </c>
      <c r="AX11" s="51">
        <f>'Rev-Capacity'!AX29</f>
        <v/>
      </c>
      <c r="AY11" s="51">
        <f>'Rev-Capacity'!AY29</f>
        <v/>
      </c>
      <c r="AZ11" s="51">
        <f>'Rev-Capacity'!AZ29</f>
        <v/>
      </c>
      <c r="BA11" s="51">
        <f>'Rev-Capacity'!BA29</f>
        <v/>
      </c>
      <c r="BB11" s="51">
        <f>'Rev-Capacity'!BB29</f>
        <v/>
      </c>
      <c r="BC11" s="51">
        <f>'Rev-Capacity'!BC29</f>
        <v/>
      </c>
      <c r="BD11" s="51">
        <f>'Rev-Capacity'!BD29</f>
        <v/>
      </c>
      <c r="BE11" s="51">
        <f>'Rev-Capacity'!BE29</f>
        <v/>
      </c>
      <c r="BF11" s="51">
        <f>'Rev-Capacity'!BF29</f>
        <v/>
      </c>
      <c r="BG11" s="51">
        <f>'Rev-Capacity'!BG29</f>
        <v/>
      </c>
      <c r="BH11" s="51">
        <f>'Rev-Capacity'!BH29</f>
        <v/>
      </c>
      <c r="BI11" s="51">
        <f>'Rev-Capacity'!BI29</f>
        <v/>
      </c>
      <c r="BJ11" s="51">
        <f>'Rev-Capacity'!BJ29</f>
        <v/>
      </c>
      <c r="BK11" s="51">
        <f>'Rev-Capacity'!BK29</f>
        <v/>
      </c>
      <c r="BM11" s="91">
        <f>SUM(D11:O11)</f>
        <v/>
      </c>
      <c r="BN11" s="91">
        <f>SUM(P11:AA11)</f>
        <v/>
      </c>
      <c r="BO11" s="91">
        <f>SUM(AB11:AM11)</f>
        <v/>
      </c>
      <c r="BP11" s="91">
        <f>SUM(AN11:AY11)</f>
        <v/>
      </c>
      <c r="BQ11" s="91">
        <f>SUM(AZ11:BK11)</f>
        <v/>
      </c>
    </row>
    <row r="12">
      <c r="B12" s="18" t="inlineStr">
        <is>
          <t xml:space="preserve">    Expansion</t>
        </is>
      </c>
      <c r="C12" s="19" t="inlineStr">
        <is>
          <t>$</t>
        </is>
      </c>
      <c r="D12" s="51">
        <f>D10*'Rev-Cohorts'!D10+('Rev-Cohorts'!D95*'Rev-Cohorts'!D12+'Rev-Cohorts'!D96*'Rev-Cohorts'!D13)*'Rev-Cohorts'!D14</f>
        <v/>
      </c>
      <c r="E12" s="51">
        <f>E10*'Rev-Cohorts'!E10+('Rev-Cohorts'!E95*'Rev-Cohorts'!E12+'Rev-Cohorts'!E96*'Rev-Cohorts'!E13)*'Rev-Cohorts'!E14</f>
        <v/>
      </c>
      <c r="F12" s="51">
        <f>F10*'Rev-Cohorts'!F10+('Rev-Cohorts'!F95*'Rev-Cohorts'!F12+'Rev-Cohorts'!F96*'Rev-Cohorts'!F13)*'Rev-Cohorts'!F14</f>
        <v/>
      </c>
      <c r="G12" s="51">
        <f>G10*'Rev-Cohorts'!G10+('Rev-Cohorts'!G95*'Rev-Cohorts'!G12+'Rev-Cohorts'!G96*'Rev-Cohorts'!G13)*'Rev-Cohorts'!G14</f>
        <v/>
      </c>
      <c r="H12" s="51">
        <f>H10*'Rev-Cohorts'!H10+('Rev-Cohorts'!H95*'Rev-Cohorts'!H12+'Rev-Cohorts'!H96*'Rev-Cohorts'!H13)*'Rev-Cohorts'!H14</f>
        <v/>
      </c>
      <c r="I12" s="51">
        <f>I10*'Rev-Cohorts'!I10+('Rev-Cohorts'!I95*'Rev-Cohorts'!I12+'Rev-Cohorts'!I96*'Rev-Cohorts'!I13)*'Rev-Cohorts'!I14</f>
        <v/>
      </c>
      <c r="J12" s="51">
        <f>J10*'Rev-Cohorts'!J10+('Rev-Cohorts'!J95*'Rev-Cohorts'!J12+'Rev-Cohorts'!J96*'Rev-Cohorts'!J13)*'Rev-Cohorts'!J14</f>
        <v/>
      </c>
      <c r="K12" s="51">
        <f>K10*'Rev-Cohorts'!K10+('Rev-Cohorts'!K95*'Rev-Cohorts'!K12+'Rev-Cohorts'!K96*'Rev-Cohorts'!K13)*'Rev-Cohorts'!K14</f>
        <v/>
      </c>
      <c r="L12" s="51">
        <f>L10*'Rev-Cohorts'!L10+('Rev-Cohorts'!L95*'Rev-Cohorts'!L12+'Rev-Cohorts'!L96*'Rev-Cohorts'!L13)*'Rev-Cohorts'!L14</f>
        <v/>
      </c>
      <c r="M12" s="51">
        <f>M10*'Rev-Cohorts'!M10+('Rev-Cohorts'!M95*'Rev-Cohorts'!M12+'Rev-Cohorts'!M96*'Rev-Cohorts'!M13)*'Rev-Cohorts'!M14</f>
        <v/>
      </c>
      <c r="N12" s="51">
        <f>N10*'Rev-Cohorts'!N10+('Rev-Cohorts'!N95*'Rev-Cohorts'!N12+'Rev-Cohorts'!N96*'Rev-Cohorts'!N13)*'Rev-Cohorts'!N14</f>
        <v/>
      </c>
      <c r="O12" s="51">
        <f>O10*'Rev-Cohorts'!O10+('Rev-Cohorts'!O95*'Rev-Cohorts'!O12+'Rev-Cohorts'!O96*'Rev-Cohorts'!O13)*'Rev-Cohorts'!O14</f>
        <v/>
      </c>
      <c r="P12" s="51">
        <f>P10*'Rev-Cohorts'!P10+('Rev-Cohorts'!P95*'Rev-Cohorts'!P12+'Rev-Cohorts'!P96*'Rev-Cohorts'!P13)*'Rev-Cohorts'!P14</f>
        <v/>
      </c>
      <c r="Q12" s="51">
        <f>Q10*'Rev-Cohorts'!Q10+('Rev-Cohorts'!Q95*'Rev-Cohorts'!Q12+'Rev-Cohorts'!Q96*'Rev-Cohorts'!Q13)*'Rev-Cohorts'!Q14</f>
        <v/>
      </c>
      <c r="R12" s="51">
        <f>R10*'Rev-Cohorts'!R10+('Rev-Cohorts'!R95*'Rev-Cohorts'!R12+'Rev-Cohorts'!R96*'Rev-Cohorts'!R13)*'Rev-Cohorts'!R14</f>
        <v/>
      </c>
      <c r="S12" s="51">
        <f>S10*'Rev-Cohorts'!S10+('Rev-Cohorts'!S95*'Rev-Cohorts'!S12+'Rev-Cohorts'!S96*'Rev-Cohorts'!S13)*'Rev-Cohorts'!S14</f>
        <v/>
      </c>
      <c r="T12" s="51">
        <f>T10*'Rev-Cohorts'!T10+('Rev-Cohorts'!T95*'Rev-Cohorts'!T12+'Rev-Cohorts'!T96*'Rev-Cohorts'!T13)*'Rev-Cohorts'!T14</f>
        <v/>
      </c>
      <c r="U12" s="51">
        <f>U10*'Rev-Cohorts'!U10+('Rev-Cohorts'!U95*'Rev-Cohorts'!U12+'Rev-Cohorts'!U96*'Rev-Cohorts'!U13)*'Rev-Cohorts'!U14</f>
        <v/>
      </c>
      <c r="V12" s="51">
        <f>V10*'Rev-Cohorts'!V10+('Rev-Cohorts'!V95*'Rev-Cohorts'!V12+'Rev-Cohorts'!V96*'Rev-Cohorts'!V13)*'Rev-Cohorts'!V14</f>
        <v/>
      </c>
      <c r="W12" s="51">
        <f>W10*'Rev-Cohorts'!W10+('Rev-Cohorts'!W95*'Rev-Cohorts'!W12+'Rev-Cohorts'!W96*'Rev-Cohorts'!W13)*'Rev-Cohorts'!W14</f>
        <v/>
      </c>
      <c r="X12" s="51">
        <f>X10*'Rev-Cohorts'!X10+('Rev-Cohorts'!X95*'Rev-Cohorts'!X12+'Rev-Cohorts'!X96*'Rev-Cohorts'!X13)*'Rev-Cohorts'!X14</f>
        <v/>
      </c>
      <c r="Y12" s="51">
        <f>Y10*'Rev-Cohorts'!Y10+('Rev-Cohorts'!Y95*'Rev-Cohorts'!Y12+'Rev-Cohorts'!Y96*'Rev-Cohorts'!Y13)*'Rev-Cohorts'!Y14</f>
        <v/>
      </c>
      <c r="Z12" s="51">
        <f>Z10*'Rev-Cohorts'!Z10+('Rev-Cohorts'!Z95*'Rev-Cohorts'!Z12+'Rev-Cohorts'!Z96*'Rev-Cohorts'!Z13)*'Rev-Cohorts'!Z14</f>
        <v/>
      </c>
      <c r="AA12" s="51">
        <f>AA10*'Rev-Cohorts'!AA10+('Rev-Cohorts'!AA95*'Rev-Cohorts'!AA12+'Rev-Cohorts'!AA96*'Rev-Cohorts'!AA13)*'Rev-Cohorts'!AA14</f>
        <v/>
      </c>
      <c r="AB12" s="51">
        <f>AB10*'Rev-Cohorts'!AB10+('Rev-Cohorts'!AB95*'Rev-Cohorts'!AB12+'Rev-Cohorts'!AB96*'Rev-Cohorts'!AB13)*'Rev-Cohorts'!AB14</f>
        <v/>
      </c>
      <c r="AC12" s="51">
        <f>AC10*'Rev-Cohorts'!AC10+('Rev-Cohorts'!AC95*'Rev-Cohorts'!AC12+'Rev-Cohorts'!AC96*'Rev-Cohorts'!AC13)*'Rev-Cohorts'!AC14</f>
        <v/>
      </c>
      <c r="AD12" s="51">
        <f>AD10*'Rev-Cohorts'!AD10+('Rev-Cohorts'!AD95*'Rev-Cohorts'!AD12+'Rev-Cohorts'!AD96*'Rev-Cohorts'!AD13)*'Rev-Cohorts'!AD14</f>
        <v/>
      </c>
      <c r="AE12" s="51">
        <f>AE10*'Rev-Cohorts'!AE10+('Rev-Cohorts'!AE95*'Rev-Cohorts'!AE12+'Rev-Cohorts'!AE96*'Rev-Cohorts'!AE13)*'Rev-Cohorts'!AE14</f>
        <v/>
      </c>
      <c r="AF12" s="51">
        <f>AF10*'Rev-Cohorts'!AF10+('Rev-Cohorts'!AF95*'Rev-Cohorts'!AF12+'Rev-Cohorts'!AF96*'Rev-Cohorts'!AF13)*'Rev-Cohorts'!AF14</f>
        <v/>
      </c>
      <c r="AG12" s="51">
        <f>AG10*'Rev-Cohorts'!AG10+('Rev-Cohorts'!AG95*'Rev-Cohorts'!AG12+'Rev-Cohorts'!AG96*'Rev-Cohorts'!AG13)*'Rev-Cohorts'!AG14</f>
        <v/>
      </c>
      <c r="AH12" s="51">
        <f>AH10*'Rev-Cohorts'!AH10+('Rev-Cohorts'!AH95*'Rev-Cohorts'!AH12+'Rev-Cohorts'!AH96*'Rev-Cohorts'!AH13)*'Rev-Cohorts'!AH14</f>
        <v/>
      </c>
      <c r="AI12" s="51">
        <f>AI10*'Rev-Cohorts'!AI10+('Rev-Cohorts'!AI95*'Rev-Cohorts'!AI12+'Rev-Cohorts'!AI96*'Rev-Cohorts'!AI13)*'Rev-Cohorts'!AI14</f>
        <v/>
      </c>
      <c r="AJ12" s="51">
        <f>AJ10*'Rev-Cohorts'!AJ10+('Rev-Cohorts'!AJ95*'Rev-Cohorts'!AJ12+'Rev-Cohorts'!AJ96*'Rev-Cohorts'!AJ13)*'Rev-Cohorts'!AJ14</f>
        <v/>
      </c>
      <c r="AK12" s="51">
        <f>AK10*'Rev-Cohorts'!AK10+('Rev-Cohorts'!AK95*'Rev-Cohorts'!AK12+'Rev-Cohorts'!AK96*'Rev-Cohorts'!AK13)*'Rev-Cohorts'!AK14</f>
        <v/>
      </c>
      <c r="AL12" s="51">
        <f>AL10*'Rev-Cohorts'!AL10+('Rev-Cohorts'!AL95*'Rev-Cohorts'!AL12+'Rev-Cohorts'!AL96*'Rev-Cohorts'!AL13)*'Rev-Cohorts'!AL14</f>
        <v/>
      </c>
      <c r="AM12" s="51">
        <f>AM10*'Rev-Cohorts'!AM10+('Rev-Cohorts'!AM95*'Rev-Cohorts'!AM12+'Rev-Cohorts'!AM96*'Rev-Cohorts'!AM13)*'Rev-Cohorts'!AM14</f>
        <v/>
      </c>
      <c r="AN12" s="51">
        <f>AN10*'Rev-Cohorts'!AN10+('Rev-Cohorts'!AN95*'Rev-Cohorts'!AN12+'Rev-Cohorts'!AN96*'Rev-Cohorts'!AN13)*'Rev-Cohorts'!AN14</f>
        <v/>
      </c>
      <c r="AO12" s="51">
        <f>AO10*'Rev-Cohorts'!AO10+('Rev-Cohorts'!AO95*'Rev-Cohorts'!AO12+'Rev-Cohorts'!AO96*'Rev-Cohorts'!AO13)*'Rev-Cohorts'!AO14</f>
        <v/>
      </c>
      <c r="AP12" s="51">
        <f>AP10*'Rev-Cohorts'!AP10+('Rev-Cohorts'!AP95*'Rev-Cohorts'!AP12+'Rev-Cohorts'!AP96*'Rev-Cohorts'!AP13)*'Rev-Cohorts'!AP14</f>
        <v/>
      </c>
      <c r="AQ12" s="51">
        <f>AQ10*'Rev-Cohorts'!AQ10+('Rev-Cohorts'!AQ95*'Rev-Cohorts'!AQ12+'Rev-Cohorts'!AQ96*'Rev-Cohorts'!AQ13)*'Rev-Cohorts'!AQ14</f>
        <v/>
      </c>
      <c r="AR12" s="51">
        <f>AR10*'Rev-Cohorts'!AR10+('Rev-Cohorts'!AR95*'Rev-Cohorts'!AR12+'Rev-Cohorts'!AR96*'Rev-Cohorts'!AR13)*'Rev-Cohorts'!AR14</f>
        <v/>
      </c>
      <c r="AS12" s="51">
        <f>AS10*'Rev-Cohorts'!AS10+('Rev-Cohorts'!AS95*'Rev-Cohorts'!AS12+'Rev-Cohorts'!AS96*'Rev-Cohorts'!AS13)*'Rev-Cohorts'!AS14</f>
        <v/>
      </c>
      <c r="AT12" s="51">
        <f>AT10*'Rev-Cohorts'!AT10+('Rev-Cohorts'!AT95*'Rev-Cohorts'!AT12+'Rev-Cohorts'!AT96*'Rev-Cohorts'!AT13)*'Rev-Cohorts'!AT14</f>
        <v/>
      </c>
      <c r="AU12" s="51">
        <f>AU10*'Rev-Cohorts'!AU10+('Rev-Cohorts'!AU95*'Rev-Cohorts'!AU12+'Rev-Cohorts'!AU96*'Rev-Cohorts'!AU13)*'Rev-Cohorts'!AU14</f>
        <v/>
      </c>
      <c r="AV12" s="51">
        <f>AV10*'Rev-Cohorts'!AV10+('Rev-Cohorts'!AV95*'Rev-Cohorts'!AV12+'Rev-Cohorts'!AV96*'Rev-Cohorts'!AV13)*'Rev-Cohorts'!AV14</f>
        <v/>
      </c>
      <c r="AW12" s="51">
        <f>AW10*'Rev-Cohorts'!AW10+('Rev-Cohorts'!AW95*'Rev-Cohorts'!AW12+'Rev-Cohorts'!AW96*'Rev-Cohorts'!AW13)*'Rev-Cohorts'!AW14</f>
        <v/>
      </c>
      <c r="AX12" s="51">
        <f>AX10*'Rev-Cohorts'!AX10+('Rev-Cohorts'!AX95*'Rev-Cohorts'!AX12+'Rev-Cohorts'!AX96*'Rev-Cohorts'!AX13)*'Rev-Cohorts'!AX14</f>
        <v/>
      </c>
      <c r="AY12" s="51">
        <f>AY10*'Rev-Cohorts'!AY10+('Rev-Cohorts'!AY95*'Rev-Cohorts'!AY12+'Rev-Cohorts'!AY96*'Rev-Cohorts'!AY13)*'Rev-Cohorts'!AY14</f>
        <v/>
      </c>
      <c r="AZ12" s="51">
        <f>AZ10*'Rev-Cohorts'!AZ10+('Rev-Cohorts'!AZ95*'Rev-Cohorts'!AZ12+'Rev-Cohorts'!AZ96*'Rev-Cohorts'!AZ13)*'Rev-Cohorts'!AZ14</f>
        <v/>
      </c>
      <c r="BA12" s="51">
        <f>BA10*'Rev-Cohorts'!BA10+('Rev-Cohorts'!BA95*'Rev-Cohorts'!BA12+'Rev-Cohorts'!BA96*'Rev-Cohorts'!BA13)*'Rev-Cohorts'!BA14</f>
        <v/>
      </c>
      <c r="BB12" s="51">
        <f>BB10*'Rev-Cohorts'!BB10+('Rev-Cohorts'!BB95*'Rev-Cohorts'!BB12+'Rev-Cohorts'!BB96*'Rev-Cohorts'!BB13)*'Rev-Cohorts'!BB14</f>
        <v/>
      </c>
      <c r="BC12" s="51">
        <f>BC10*'Rev-Cohorts'!BC10+('Rev-Cohorts'!BC95*'Rev-Cohorts'!BC12+'Rev-Cohorts'!BC96*'Rev-Cohorts'!BC13)*'Rev-Cohorts'!BC14</f>
        <v/>
      </c>
      <c r="BD12" s="51">
        <f>BD10*'Rev-Cohorts'!BD10+('Rev-Cohorts'!BD95*'Rev-Cohorts'!BD12+'Rev-Cohorts'!BD96*'Rev-Cohorts'!BD13)*'Rev-Cohorts'!BD14</f>
        <v/>
      </c>
      <c r="BE12" s="51">
        <f>BE10*'Rev-Cohorts'!BE10+('Rev-Cohorts'!BE95*'Rev-Cohorts'!BE12+'Rev-Cohorts'!BE96*'Rev-Cohorts'!BE13)*'Rev-Cohorts'!BE14</f>
        <v/>
      </c>
      <c r="BF12" s="51">
        <f>BF10*'Rev-Cohorts'!BF10+('Rev-Cohorts'!BF95*'Rev-Cohorts'!BF12+'Rev-Cohorts'!BF96*'Rev-Cohorts'!BF13)*'Rev-Cohorts'!BF14</f>
        <v/>
      </c>
      <c r="BG12" s="51">
        <f>BG10*'Rev-Cohorts'!BG10+('Rev-Cohorts'!BG95*'Rev-Cohorts'!BG12+'Rev-Cohorts'!BG96*'Rev-Cohorts'!BG13)*'Rev-Cohorts'!BG14</f>
        <v/>
      </c>
      <c r="BH12" s="51">
        <f>BH10*'Rev-Cohorts'!BH10+('Rev-Cohorts'!BH95*'Rev-Cohorts'!BH12+'Rev-Cohorts'!BH96*'Rev-Cohorts'!BH13)*'Rev-Cohorts'!BH14</f>
        <v/>
      </c>
      <c r="BI12" s="51">
        <f>BI10*'Rev-Cohorts'!BI10+('Rev-Cohorts'!BI95*'Rev-Cohorts'!BI12+'Rev-Cohorts'!BI96*'Rev-Cohorts'!BI13)*'Rev-Cohorts'!BI14</f>
        <v/>
      </c>
      <c r="BJ12" s="51">
        <f>BJ10*'Rev-Cohorts'!BJ10+('Rev-Cohorts'!BJ95*'Rev-Cohorts'!BJ12+'Rev-Cohorts'!BJ96*'Rev-Cohorts'!BJ13)*'Rev-Cohorts'!BJ14</f>
        <v/>
      </c>
      <c r="BK12" s="51">
        <f>BK10*'Rev-Cohorts'!BK10+('Rev-Cohorts'!BK95*'Rev-Cohorts'!BK12+'Rev-Cohorts'!BK96*'Rev-Cohorts'!BK13)*'Rev-Cohorts'!BK14</f>
        <v/>
      </c>
      <c r="BM12" s="91">
        <f>SUM(D12:O12)</f>
        <v/>
      </c>
      <c r="BN12" s="91">
        <f>SUM(P12:AA12)</f>
        <v/>
      </c>
      <c r="BO12" s="91">
        <f>SUM(AB12:AM12)</f>
        <v/>
      </c>
      <c r="BP12" s="91">
        <f>SUM(AN12:AY12)</f>
        <v/>
      </c>
      <c r="BQ12" s="91">
        <f>SUM(AZ12:BK12)</f>
        <v/>
      </c>
    </row>
    <row r="13">
      <c r="B13" s="18" t="inlineStr">
        <is>
          <t xml:space="preserve">    Churn</t>
        </is>
      </c>
      <c r="C13" s="19" t="inlineStr">
        <is>
          <t>$</t>
        </is>
      </c>
      <c r="D13" s="51">
        <f>-(D10*(1+'Rev-Cohorts'!D10)*'Rev-Cohorts'!D11+'Rev-Cohorts'!D95*(1-'Rev-Cohorts'!D12)+'Rev-Cohorts'!D96*(1-'Rev-Cohorts'!D13))</f>
        <v/>
      </c>
      <c r="E13" s="51">
        <f>-(E10*(1+'Rev-Cohorts'!E10)*'Rev-Cohorts'!E11+'Rev-Cohorts'!E95*(1-'Rev-Cohorts'!E12)+'Rev-Cohorts'!E96*(1-'Rev-Cohorts'!E13))</f>
        <v/>
      </c>
      <c r="F13" s="51">
        <f>-(F10*(1+'Rev-Cohorts'!F10)*'Rev-Cohorts'!F11+'Rev-Cohorts'!F95*(1-'Rev-Cohorts'!F12)+'Rev-Cohorts'!F96*(1-'Rev-Cohorts'!F13))</f>
        <v/>
      </c>
      <c r="G13" s="51">
        <f>-(G10*(1+'Rev-Cohorts'!G10)*'Rev-Cohorts'!G11+'Rev-Cohorts'!G95*(1-'Rev-Cohorts'!G12)+'Rev-Cohorts'!G96*(1-'Rev-Cohorts'!G13))</f>
        <v/>
      </c>
      <c r="H13" s="51">
        <f>-(H10*(1+'Rev-Cohorts'!H10)*'Rev-Cohorts'!H11+'Rev-Cohorts'!H95*(1-'Rev-Cohorts'!H12)+'Rev-Cohorts'!H96*(1-'Rev-Cohorts'!H13))</f>
        <v/>
      </c>
      <c r="I13" s="51">
        <f>-(I10*(1+'Rev-Cohorts'!I10)*'Rev-Cohorts'!I11+'Rev-Cohorts'!I95*(1-'Rev-Cohorts'!I12)+'Rev-Cohorts'!I96*(1-'Rev-Cohorts'!I13))</f>
        <v/>
      </c>
      <c r="J13" s="51">
        <f>-(J10*(1+'Rev-Cohorts'!J10)*'Rev-Cohorts'!J11+'Rev-Cohorts'!J95*(1-'Rev-Cohorts'!J12)+'Rev-Cohorts'!J96*(1-'Rev-Cohorts'!J13))</f>
        <v/>
      </c>
      <c r="K13" s="51">
        <f>-(K10*(1+'Rev-Cohorts'!K10)*'Rev-Cohorts'!K11+'Rev-Cohorts'!K95*(1-'Rev-Cohorts'!K12)+'Rev-Cohorts'!K96*(1-'Rev-Cohorts'!K13))</f>
        <v/>
      </c>
      <c r="L13" s="51">
        <f>-(L10*(1+'Rev-Cohorts'!L10)*'Rev-Cohorts'!L11+'Rev-Cohorts'!L95*(1-'Rev-Cohorts'!L12)+'Rev-Cohorts'!L96*(1-'Rev-Cohorts'!L13))</f>
        <v/>
      </c>
      <c r="M13" s="51">
        <f>-(M10*(1+'Rev-Cohorts'!M10)*'Rev-Cohorts'!M11+'Rev-Cohorts'!M95*(1-'Rev-Cohorts'!M12)+'Rev-Cohorts'!M96*(1-'Rev-Cohorts'!M13))</f>
        <v/>
      </c>
      <c r="N13" s="51">
        <f>-(N10*(1+'Rev-Cohorts'!N10)*'Rev-Cohorts'!N11+'Rev-Cohorts'!N95*(1-'Rev-Cohorts'!N12)+'Rev-Cohorts'!N96*(1-'Rev-Cohorts'!N13))</f>
        <v/>
      </c>
      <c r="O13" s="51">
        <f>-(O10*(1+'Rev-Cohorts'!O10)*'Rev-Cohorts'!O11+'Rev-Cohorts'!O95*(1-'Rev-Cohorts'!O12)+'Rev-Cohorts'!O96*(1-'Rev-Cohorts'!O13))</f>
        <v/>
      </c>
      <c r="P13" s="51">
        <f>-(P10*(1+'Rev-Cohorts'!P10)*'Rev-Cohorts'!P11+'Rev-Cohorts'!P95*(1-'Rev-Cohorts'!P12)+'Rev-Cohorts'!P96*(1-'Rev-Cohorts'!P13))</f>
        <v/>
      </c>
      <c r="Q13" s="51">
        <f>-(Q10*(1+'Rev-Cohorts'!Q10)*'Rev-Cohorts'!Q11+'Rev-Cohorts'!Q95*(1-'Rev-Cohorts'!Q12)+'Rev-Cohorts'!Q96*(1-'Rev-Cohorts'!Q13))</f>
        <v/>
      </c>
      <c r="R13" s="51">
        <f>-(R10*(1+'Rev-Cohorts'!R10)*'Rev-Cohorts'!R11+'Rev-Cohorts'!R95*(1-'Rev-Cohorts'!R12)+'Rev-Cohorts'!R96*(1-'Rev-Cohorts'!R13))</f>
        <v/>
      </c>
      <c r="S13" s="51">
        <f>-(S10*(1+'Rev-Cohorts'!S10)*'Rev-Cohorts'!S11+'Rev-Cohorts'!S95*(1-'Rev-Cohorts'!S12)+'Rev-Cohorts'!S96*(1-'Rev-Cohorts'!S13))</f>
        <v/>
      </c>
      <c r="T13" s="51">
        <f>-(T10*(1+'Rev-Cohorts'!T10)*'Rev-Cohorts'!T11+'Rev-Cohorts'!T95*(1-'Rev-Cohorts'!T12)+'Rev-Cohorts'!T96*(1-'Rev-Cohorts'!T13))</f>
        <v/>
      </c>
      <c r="U13" s="51">
        <f>-(U10*(1+'Rev-Cohorts'!U10)*'Rev-Cohorts'!U11+'Rev-Cohorts'!U95*(1-'Rev-Cohorts'!U12)+'Rev-Cohorts'!U96*(1-'Rev-Cohorts'!U13))</f>
        <v/>
      </c>
      <c r="V13" s="51">
        <f>-(V10*(1+'Rev-Cohorts'!V10)*'Rev-Cohorts'!V11+'Rev-Cohorts'!V95*(1-'Rev-Cohorts'!V12)+'Rev-Cohorts'!V96*(1-'Rev-Cohorts'!V13))</f>
        <v/>
      </c>
      <c r="W13" s="51">
        <f>-(W10*(1+'Rev-Cohorts'!W10)*'Rev-Cohorts'!W11+'Rev-Cohorts'!W95*(1-'Rev-Cohorts'!W12)+'Rev-Cohorts'!W96*(1-'Rev-Cohorts'!W13))</f>
        <v/>
      </c>
      <c r="X13" s="51">
        <f>-(X10*(1+'Rev-Cohorts'!X10)*'Rev-Cohorts'!X11+'Rev-Cohorts'!X95*(1-'Rev-Cohorts'!X12)+'Rev-Cohorts'!X96*(1-'Rev-Cohorts'!X13))</f>
        <v/>
      </c>
      <c r="Y13" s="51">
        <f>-(Y10*(1+'Rev-Cohorts'!Y10)*'Rev-Cohorts'!Y11+'Rev-Cohorts'!Y95*(1-'Rev-Cohorts'!Y12)+'Rev-Cohorts'!Y96*(1-'Rev-Cohorts'!Y13))</f>
        <v/>
      </c>
      <c r="Z13" s="51">
        <f>-(Z10*(1+'Rev-Cohorts'!Z10)*'Rev-Cohorts'!Z11+'Rev-Cohorts'!Z95*(1-'Rev-Cohorts'!Z12)+'Rev-Cohorts'!Z96*(1-'Rev-Cohorts'!Z13))</f>
        <v/>
      </c>
      <c r="AA13" s="51">
        <f>-(AA10*(1+'Rev-Cohorts'!AA10)*'Rev-Cohorts'!AA11+'Rev-Cohorts'!AA95*(1-'Rev-Cohorts'!AA12)+'Rev-Cohorts'!AA96*(1-'Rev-Cohorts'!AA13))</f>
        <v/>
      </c>
      <c r="AB13" s="51">
        <f>-(AB10*(1+'Rev-Cohorts'!AB10)*'Rev-Cohorts'!AB11+'Rev-Cohorts'!AB95*(1-'Rev-Cohorts'!AB12)+'Rev-Cohorts'!AB96*(1-'Rev-Cohorts'!AB13))</f>
        <v/>
      </c>
      <c r="AC13" s="51">
        <f>-(AC10*(1+'Rev-Cohorts'!AC10)*'Rev-Cohorts'!AC11+'Rev-Cohorts'!AC95*(1-'Rev-Cohorts'!AC12)+'Rev-Cohorts'!AC96*(1-'Rev-Cohorts'!AC13))</f>
        <v/>
      </c>
      <c r="AD13" s="51">
        <f>-(AD10*(1+'Rev-Cohorts'!AD10)*'Rev-Cohorts'!AD11+'Rev-Cohorts'!AD95*(1-'Rev-Cohorts'!AD12)+'Rev-Cohorts'!AD96*(1-'Rev-Cohorts'!AD13))</f>
        <v/>
      </c>
      <c r="AE13" s="51">
        <f>-(AE10*(1+'Rev-Cohorts'!AE10)*'Rev-Cohorts'!AE11+'Rev-Cohorts'!AE95*(1-'Rev-Cohorts'!AE12)+'Rev-Cohorts'!AE96*(1-'Rev-Cohorts'!AE13))</f>
        <v/>
      </c>
      <c r="AF13" s="51">
        <f>-(AF10*(1+'Rev-Cohorts'!AF10)*'Rev-Cohorts'!AF11+'Rev-Cohorts'!AF95*(1-'Rev-Cohorts'!AF12)+'Rev-Cohorts'!AF96*(1-'Rev-Cohorts'!AF13))</f>
        <v/>
      </c>
      <c r="AG13" s="51">
        <f>-(AG10*(1+'Rev-Cohorts'!AG10)*'Rev-Cohorts'!AG11+'Rev-Cohorts'!AG95*(1-'Rev-Cohorts'!AG12)+'Rev-Cohorts'!AG96*(1-'Rev-Cohorts'!AG13))</f>
        <v/>
      </c>
      <c r="AH13" s="51">
        <f>-(AH10*(1+'Rev-Cohorts'!AH10)*'Rev-Cohorts'!AH11+'Rev-Cohorts'!AH95*(1-'Rev-Cohorts'!AH12)+'Rev-Cohorts'!AH96*(1-'Rev-Cohorts'!AH13))</f>
        <v/>
      </c>
      <c r="AI13" s="51">
        <f>-(AI10*(1+'Rev-Cohorts'!AI10)*'Rev-Cohorts'!AI11+'Rev-Cohorts'!AI95*(1-'Rev-Cohorts'!AI12)+'Rev-Cohorts'!AI96*(1-'Rev-Cohorts'!AI13))</f>
        <v/>
      </c>
      <c r="AJ13" s="51">
        <f>-(AJ10*(1+'Rev-Cohorts'!AJ10)*'Rev-Cohorts'!AJ11+'Rev-Cohorts'!AJ95*(1-'Rev-Cohorts'!AJ12)+'Rev-Cohorts'!AJ96*(1-'Rev-Cohorts'!AJ13))</f>
        <v/>
      </c>
      <c r="AK13" s="51">
        <f>-(AK10*(1+'Rev-Cohorts'!AK10)*'Rev-Cohorts'!AK11+'Rev-Cohorts'!AK95*(1-'Rev-Cohorts'!AK12)+'Rev-Cohorts'!AK96*(1-'Rev-Cohorts'!AK13))</f>
        <v/>
      </c>
      <c r="AL13" s="51">
        <f>-(AL10*(1+'Rev-Cohorts'!AL10)*'Rev-Cohorts'!AL11+'Rev-Cohorts'!AL95*(1-'Rev-Cohorts'!AL12)+'Rev-Cohorts'!AL96*(1-'Rev-Cohorts'!AL13))</f>
        <v/>
      </c>
      <c r="AM13" s="51">
        <f>-(AM10*(1+'Rev-Cohorts'!AM10)*'Rev-Cohorts'!AM11+'Rev-Cohorts'!AM95*(1-'Rev-Cohorts'!AM12)+'Rev-Cohorts'!AM96*(1-'Rev-Cohorts'!AM13))</f>
        <v/>
      </c>
      <c r="AN13" s="51">
        <f>-(AN10*(1+'Rev-Cohorts'!AN10)*'Rev-Cohorts'!AN11+'Rev-Cohorts'!AN95*(1-'Rev-Cohorts'!AN12)+'Rev-Cohorts'!AN96*(1-'Rev-Cohorts'!AN13))</f>
        <v/>
      </c>
      <c r="AO13" s="51">
        <f>-(AO10*(1+'Rev-Cohorts'!AO10)*'Rev-Cohorts'!AO11+'Rev-Cohorts'!AO95*(1-'Rev-Cohorts'!AO12)+'Rev-Cohorts'!AO96*(1-'Rev-Cohorts'!AO13))</f>
        <v/>
      </c>
      <c r="AP13" s="51">
        <f>-(AP10*(1+'Rev-Cohorts'!AP10)*'Rev-Cohorts'!AP11+'Rev-Cohorts'!AP95*(1-'Rev-Cohorts'!AP12)+'Rev-Cohorts'!AP96*(1-'Rev-Cohorts'!AP13))</f>
        <v/>
      </c>
      <c r="AQ13" s="51">
        <f>-(AQ10*(1+'Rev-Cohorts'!AQ10)*'Rev-Cohorts'!AQ11+'Rev-Cohorts'!AQ95*(1-'Rev-Cohorts'!AQ12)+'Rev-Cohorts'!AQ96*(1-'Rev-Cohorts'!AQ13))</f>
        <v/>
      </c>
      <c r="AR13" s="51">
        <f>-(AR10*(1+'Rev-Cohorts'!AR10)*'Rev-Cohorts'!AR11+'Rev-Cohorts'!AR95*(1-'Rev-Cohorts'!AR12)+'Rev-Cohorts'!AR96*(1-'Rev-Cohorts'!AR13))</f>
        <v/>
      </c>
      <c r="AS13" s="51">
        <f>-(AS10*(1+'Rev-Cohorts'!AS10)*'Rev-Cohorts'!AS11+'Rev-Cohorts'!AS95*(1-'Rev-Cohorts'!AS12)+'Rev-Cohorts'!AS96*(1-'Rev-Cohorts'!AS13))</f>
        <v/>
      </c>
      <c r="AT13" s="51">
        <f>-(AT10*(1+'Rev-Cohorts'!AT10)*'Rev-Cohorts'!AT11+'Rev-Cohorts'!AT95*(1-'Rev-Cohorts'!AT12)+'Rev-Cohorts'!AT96*(1-'Rev-Cohorts'!AT13))</f>
        <v/>
      </c>
      <c r="AU13" s="51">
        <f>-(AU10*(1+'Rev-Cohorts'!AU10)*'Rev-Cohorts'!AU11+'Rev-Cohorts'!AU95*(1-'Rev-Cohorts'!AU12)+'Rev-Cohorts'!AU96*(1-'Rev-Cohorts'!AU13))</f>
        <v/>
      </c>
      <c r="AV13" s="51">
        <f>-(AV10*(1+'Rev-Cohorts'!AV10)*'Rev-Cohorts'!AV11+'Rev-Cohorts'!AV95*(1-'Rev-Cohorts'!AV12)+'Rev-Cohorts'!AV96*(1-'Rev-Cohorts'!AV13))</f>
        <v/>
      </c>
      <c r="AW13" s="51">
        <f>-(AW10*(1+'Rev-Cohorts'!AW10)*'Rev-Cohorts'!AW11+'Rev-Cohorts'!AW95*(1-'Rev-Cohorts'!AW12)+'Rev-Cohorts'!AW96*(1-'Rev-Cohorts'!AW13))</f>
        <v/>
      </c>
      <c r="AX13" s="51">
        <f>-(AX10*(1+'Rev-Cohorts'!AX10)*'Rev-Cohorts'!AX11+'Rev-Cohorts'!AX95*(1-'Rev-Cohorts'!AX12)+'Rev-Cohorts'!AX96*(1-'Rev-Cohorts'!AX13))</f>
        <v/>
      </c>
      <c r="AY13" s="51">
        <f>-(AY10*(1+'Rev-Cohorts'!AY10)*'Rev-Cohorts'!AY11+'Rev-Cohorts'!AY95*(1-'Rev-Cohorts'!AY12)+'Rev-Cohorts'!AY96*(1-'Rev-Cohorts'!AY13))</f>
        <v/>
      </c>
      <c r="AZ13" s="51">
        <f>-(AZ10*(1+'Rev-Cohorts'!AZ10)*'Rev-Cohorts'!AZ11+'Rev-Cohorts'!AZ95*(1-'Rev-Cohorts'!AZ12)+'Rev-Cohorts'!AZ96*(1-'Rev-Cohorts'!AZ13))</f>
        <v/>
      </c>
      <c r="BA13" s="51">
        <f>-(BA10*(1+'Rev-Cohorts'!BA10)*'Rev-Cohorts'!BA11+'Rev-Cohorts'!BA95*(1-'Rev-Cohorts'!BA12)+'Rev-Cohorts'!BA96*(1-'Rev-Cohorts'!BA13))</f>
        <v/>
      </c>
      <c r="BB13" s="51">
        <f>-(BB10*(1+'Rev-Cohorts'!BB10)*'Rev-Cohorts'!BB11+'Rev-Cohorts'!BB95*(1-'Rev-Cohorts'!BB12)+'Rev-Cohorts'!BB96*(1-'Rev-Cohorts'!BB13))</f>
        <v/>
      </c>
      <c r="BC13" s="51">
        <f>-(BC10*(1+'Rev-Cohorts'!BC10)*'Rev-Cohorts'!BC11+'Rev-Cohorts'!BC95*(1-'Rev-Cohorts'!BC12)+'Rev-Cohorts'!BC96*(1-'Rev-Cohorts'!BC13))</f>
        <v/>
      </c>
      <c r="BD13" s="51">
        <f>-(BD10*(1+'Rev-Cohorts'!BD10)*'Rev-Cohorts'!BD11+'Rev-Cohorts'!BD95*(1-'Rev-Cohorts'!BD12)+'Rev-Cohorts'!BD96*(1-'Rev-Cohorts'!BD13))</f>
        <v/>
      </c>
      <c r="BE13" s="51">
        <f>-(BE10*(1+'Rev-Cohorts'!BE10)*'Rev-Cohorts'!BE11+'Rev-Cohorts'!BE95*(1-'Rev-Cohorts'!BE12)+'Rev-Cohorts'!BE96*(1-'Rev-Cohorts'!BE13))</f>
        <v/>
      </c>
      <c r="BF13" s="51">
        <f>-(BF10*(1+'Rev-Cohorts'!BF10)*'Rev-Cohorts'!BF11+'Rev-Cohorts'!BF95*(1-'Rev-Cohorts'!BF12)+'Rev-Cohorts'!BF96*(1-'Rev-Cohorts'!BF13))</f>
        <v/>
      </c>
      <c r="BG13" s="51">
        <f>-(BG10*(1+'Rev-Cohorts'!BG10)*'Rev-Cohorts'!BG11+'Rev-Cohorts'!BG95*(1-'Rev-Cohorts'!BG12)+'Rev-Cohorts'!BG96*(1-'Rev-Cohorts'!BG13))</f>
        <v/>
      </c>
      <c r="BH13" s="51">
        <f>-(BH10*(1+'Rev-Cohorts'!BH10)*'Rev-Cohorts'!BH11+'Rev-Cohorts'!BH95*(1-'Rev-Cohorts'!BH12)+'Rev-Cohorts'!BH96*(1-'Rev-Cohorts'!BH13))</f>
        <v/>
      </c>
      <c r="BI13" s="51">
        <f>-(BI10*(1+'Rev-Cohorts'!BI10)*'Rev-Cohorts'!BI11+'Rev-Cohorts'!BI95*(1-'Rev-Cohorts'!BI12)+'Rev-Cohorts'!BI96*(1-'Rev-Cohorts'!BI13))</f>
        <v/>
      </c>
      <c r="BJ13" s="51">
        <f>-(BJ10*(1+'Rev-Cohorts'!BJ10)*'Rev-Cohorts'!BJ11+'Rev-Cohorts'!BJ95*(1-'Rev-Cohorts'!BJ12)+'Rev-Cohorts'!BJ96*(1-'Rev-Cohorts'!BJ13))</f>
        <v/>
      </c>
      <c r="BK13" s="51">
        <f>-(BK10*(1+'Rev-Cohorts'!BK10)*'Rev-Cohorts'!BK11+'Rev-Cohorts'!BK95*(1-'Rev-Cohorts'!BK12)+'Rev-Cohorts'!BK96*(1-'Rev-Cohorts'!BK13))</f>
        <v/>
      </c>
      <c r="BM13" s="91">
        <f>SUM(D13:O13)</f>
        <v/>
      </c>
      <c r="BN13" s="91">
        <f>SUM(P13:AA13)</f>
        <v/>
      </c>
      <c r="BO13" s="91">
        <f>SUM(AB13:AM13)</f>
        <v/>
      </c>
      <c r="BP13" s="91">
        <f>SUM(AN13:AY13)</f>
        <v/>
      </c>
      <c r="BQ13" s="91">
        <f>SUM(AZ13:BK13)</f>
        <v/>
      </c>
    </row>
    <row r="14">
      <c r="B14" s="29" t="inlineStr">
        <is>
          <t xml:space="preserve">    Ending enterprise core ARR</t>
        </is>
      </c>
      <c r="C14" s="19" t="inlineStr">
        <is>
          <t>$</t>
        </is>
      </c>
      <c r="D14" s="52">
        <f>'Rev-Cohorts'!D92</f>
        <v/>
      </c>
      <c r="E14" s="52">
        <f>'Rev-Cohorts'!E92</f>
        <v/>
      </c>
      <c r="F14" s="52">
        <f>'Rev-Cohorts'!F92</f>
        <v/>
      </c>
      <c r="G14" s="52">
        <f>'Rev-Cohorts'!G92</f>
        <v/>
      </c>
      <c r="H14" s="52">
        <f>'Rev-Cohorts'!H92</f>
        <v/>
      </c>
      <c r="I14" s="52">
        <f>'Rev-Cohorts'!I92</f>
        <v/>
      </c>
      <c r="J14" s="52">
        <f>'Rev-Cohorts'!J92</f>
        <v/>
      </c>
      <c r="K14" s="52">
        <f>'Rev-Cohorts'!K92</f>
        <v/>
      </c>
      <c r="L14" s="52">
        <f>'Rev-Cohorts'!L92</f>
        <v/>
      </c>
      <c r="M14" s="52">
        <f>'Rev-Cohorts'!M92</f>
        <v/>
      </c>
      <c r="N14" s="52">
        <f>'Rev-Cohorts'!N92</f>
        <v/>
      </c>
      <c r="O14" s="52">
        <f>'Rev-Cohorts'!O92</f>
        <v/>
      </c>
      <c r="P14" s="52">
        <f>'Rev-Cohorts'!P92</f>
        <v/>
      </c>
      <c r="Q14" s="52">
        <f>'Rev-Cohorts'!Q92</f>
        <v/>
      </c>
      <c r="R14" s="52">
        <f>'Rev-Cohorts'!R92</f>
        <v/>
      </c>
      <c r="S14" s="52">
        <f>'Rev-Cohorts'!S92</f>
        <v/>
      </c>
      <c r="T14" s="52">
        <f>'Rev-Cohorts'!T92</f>
        <v/>
      </c>
      <c r="U14" s="52">
        <f>'Rev-Cohorts'!U92</f>
        <v/>
      </c>
      <c r="V14" s="52">
        <f>'Rev-Cohorts'!V92</f>
        <v/>
      </c>
      <c r="W14" s="52">
        <f>'Rev-Cohorts'!W92</f>
        <v/>
      </c>
      <c r="X14" s="52">
        <f>'Rev-Cohorts'!X92</f>
        <v/>
      </c>
      <c r="Y14" s="52">
        <f>'Rev-Cohorts'!Y92</f>
        <v/>
      </c>
      <c r="Z14" s="52">
        <f>'Rev-Cohorts'!Z92</f>
        <v/>
      </c>
      <c r="AA14" s="52">
        <f>'Rev-Cohorts'!AA92</f>
        <v/>
      </c>
      <c r="AB14" s="52">
        <f>'Rev-Cohorts'!AB92</f>
        <v/>
      </c>
      <c r="AC14" s="52">
        <f>'Rev-Cohorts'!AC92</f>
        <v/>
      </c>
      <c r="AD14" s="52">
        <f>'Rev-Cohorts'!AD92</f>
        <v/>
      </c>
      <c r="AE14" s="52">
        <f>'Rev-Cohorts'!AE92</f>
        <v/>
      </c>
      <c r="AF14" s="52">
        <f>'Rev-Cohorts'!AF92</f>
        <v/>
      </c>
      <c r="AG14" s="52">
        <f>'Rev-Cohorts'!AG92</f>
        <v/>
      </c>
      <c r="AH14" s="52">
        <f>'Rev-Cohorts'!AH92</f>
        <v/>
      </c>
      <c r="AI14" s="52">
        <f>'Rev-Cohorts'!AI92</f>
        <v/>
      </c>
      <c r="AJ14" s="52">
        <f>'Rev-Cohorts'!AJ92</f>
        <v/>
      </c>
      <c r="AK14" s="52">
        <f>'Rev-Cohorts'!AK92</f>
        <v/>
      </c>
      <c r="AL14" s="52">
        <f>'Rev-Cohorts'!AL92</f>
        <v/>
      </c>
      <c r="AM14" s="52">
        <f>'Rev-Cohorts'!AM92</f>
        <v/>
      </c>
      <c r="AN14" s="52">
        <f>'Rev-Cohorts'!AN92</f>
        <v/>
      </c>
      <c r="AO14" s="52">
        <f>'Rev-Cohorts'!AO92</f>
        <v/>
      </c>
      <c r="AP14" s="52">
        <f>'Rev-Cohorts'!AP92</f>
        <v/>
      </c>
      <c r="AQ14" s="52">
        <f>'Rev-Cohorts'!AQ92</f>
        <v/>
      </c>
      <c r="AR14" s="52">
        <f>'Rev-Cohorts'!AR92</f>
        <v/>
      </c>
      <c r="AS14" s="52">
        <f>'Rev-Cohorts'!AS92</f>
        <v/>
      </c>
      <c r="AT14" s="52">
        <f>'Rev-Cohorts'!AT92</f>
        <v/>
      </c>
      <c r="AU14" s="52">
        <f>'Rev-Cohorts'!AU92</f>
        <v/>
      </c>
      <c r="AV14" s="52">
        <f>'Rev-Cohorts'!AV92</f>
        <v/>
      </c>
      <c r="AW14" s="52">
        <f>'Rev-Cohorts'!AW92</f>
        <v/>
      </c>
      <c r="AX14" s="52">
        <f>'Rev-Cohorts'!AX92</f>
        <v/>
      </c>
      <c r="AY14" s="52">
        <f>'Rev-Cohorts'!AY92</f>
        <v/>
      </c>
      <c r="AZ14" s="52">
        <f>'Rev-Cohorts'!AZ92</f>
        <v/>
      </c>
      <c r="BA14" s="52">
        <f>'Rev-Cohorts'!BA92</f>
        <v/>
      </c>
      <c r="BB14" s="52">
        <f>'Rev-Cohorts'!BB92</f>
        <v/>
      </c>
      <c r="BC14" s="52">
        <f>'Rev-Cohorts'!BC92</f>
        <v/>
      </c>
      <c r="BD14" s="52">
        <f>'Rev-Cohorts'!BD92</f>
        <v/>
      </c>
      <c r="BE14" s="52">
        <f>'Rev-Cohorts'!BE92</f>
        <v/>
      </c>
      <c r="BF14" s="52">
        <f>'Rev-Cohorts'!BF92</f>
        <v/>
      </c>
      <c r="BG14" s="52">
        <f>'Rev-Cohorts'!BG92</f>
        <v/>
      </c>
      <c r="BH14" s="52">
        <f>'Rev-Cohorts'!BH92</f>
        <v/>
      </c>
      <c r="BI14" s="52">
        <f>'Rev-Cohorts'!BI92</f>
        <v/>
      </c>
      <c r="BJ14" s="52">
        <f>'Rev-Cohorts'!BJ92</f>
        <v/>
      </c>
      <c r="BK14" s="52">
        <f>'Rev-Cohorts'!BK92</f>
        <v/>
      </c>
      <c r="BM14" s="47">
        <f>O14</f>
        <v/>
      </c>
      <c r="BN14" s="47">
        <f>AA14</f>
        <v/>
      </c>
      <c r="BO14" s="47">
        <f>AM14</f>
        <v/>
      </c>
      <c r="BP14" s="47">
        <f>AY14</f>
        <v/>
      </c>
      <c r="BQ14" s="47">
        <f>BK14</f>
        <v/>
      </c>
    </row>
    <row r="15"/>
    <row r="16">
      <c r="B16" s="3" t="inlineStr">
        <is>
          <t>AGENTS</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c r="AX16" s="4" t="n"/>
      <c r="AY16" s="4" t="n"/>
      <c r="AZ16" s="4" t="n"/>
      <c r="BA16" s="4" t="n"/>
      <c r="BB16" s="4" t="n"/>
      <c r="BC16" s="4" t="n"/>
      <c r="BD16" s="4" t="n"/>
      <c r="BE16" s="4" t="n"/>
      <c r="BF16" s="4" t="n"/>
      <c r="BG16" s="4" t="n"/>
      <c r="BH16" s="4" t="n"/>
      <c r="BI16" s="4" t="n"/>
      <c r="BJ16" s="4" t="n"/>
      <c r="BK16" s="4" t="n"/>
      <c r="BL16" s="4" t="n"/>
      <c r="BM16" s="4" t="n"/>
      <c r="BN16" s="4" t="n"/>
      <c r="BO16" s="4" t="n"/>
      <c r="BP16" s="4" t="n"/>
      <c r="BQ16" s="4" t="n"/>
    </row>
    <row r="17">
      <c r="B17" s="18" t="inlineStr">
        <is>
          <t xml:space="preserve">    Enterprise customers</t>
        </is>
      </c>
      <c r="C17" s="19" t="inlineStr">
        <is>
          <t>#</t>
        </is>
      </c>
      <c r="D17" s="42">
        <f>Inputs!$D$16*(1-(Inputs!$D$62+Inputs!$D$73)/12)+'Rev-Capacity'!D30-Inputs!$D$16/12*(1-('Rev-Cohorts'!D12-Inputs!$D$73))</f>
        <v/>
      </c>
      <c r="E17" s="42">
        <f>D17+'Rev-Capacity'!E30-D17*(Inputs!$D$62+Inputs!$D$73)/12-IF(E$7&lt;=12,Inputs!$D$16/12*(1-('Rev-Cohorts'!E12-Inputs!$D$73)),0)</f>
        <v/>
      </c>
      <c r="F17" s="42">
        <f>E17+'Rev-Capacity'!F30-E17*(Inputs!$D$62+Inputs!$D$73)/12-IF(F$7&lt;=12,Inputs!$D$16/12*(1-('Rev-Cohorts'!F12-Inputs!$D$73)),0)</f>
        <v/>
      </c>
      <c r="G17" s="42">
        <f>F17+'Rev-Capacity'!G30-F17*(Inputs!$D$62+Inputs!$D$73)/12-IF(G$7&lt;=12,Inputs!$D$16/12*(1-('Rev-Cohorts'!G12-Inputs!$D$73)),0)</f>
        <v/>
      </c>
      <c r="H17" s="42">
        <f>G17+'Rev-Capacity'!H30-G17*(Inputs!$D$62+Inputs!$D$73)/12-IF(H$7&lt;=12,Inputs!$D$16/12*(1-('Rev-Cohorts'!H12-Inputs!$D$73)),0)</f>
        <v/>
      </c>
      <c r="I17" s="42">
        <f>H17+'Rev-Capacity'!I30-H17*(Inputs!$D$62+Inputs!$D$73)/12-IF(I$7&lt;=12,Inputs!$D$16/12*(1-('Rev-Cohorts'!I12-Inputs!$D$73)),0)</f>
        <v/>
      </c>
      <c r="J17" s="42">
        <f>I17+'Rev-Capacity'!J30-I17*(Inputs!$D$62+Inputs!$D$73)/12-IF(J$7&lt;=12,Inputs!$D$16/12*(1-('Rev-Cohorts'!J12-Inputs!$D$73)),0)</f>
        <v/>
      </c>
      <c r="K17" s="42">
        <f>J17+'Rev-Capacity'!K30-J17*(Inputs!$D$62+Inputs!$D$73)/12-IF(K$7&lt;=12,Inputs!$D$16/12*(1-('Rev-Cohorts'!K12-Inputs!$D$73)),0)</f>
        <v/>
      </c>
      <c r="L17" s="42">
        <f>K17+'Rev-Capacity'!L30-K17*(Inputs!$D$62+Inputs!$D$73)/12-IF(L$7&lt;=12,Inputs!$D$16/12*(1-('Rev-Cohorts'!L12-Inputs!$D$73)),0)</f>
        <v/>
      </c>
      <c r="M17" s="42">
        <f>L17+'Rev-Capacity'!M30-L17*(Inputs!$D$62+Inputs!$D$73)/12-IF(M$7&lt;=12,Inputs!$D$16/12*(1-('Rev-Cohorts'!M12-Inputs!$D$73)),0)</f>
        <v/>
      </c>
      <c r="N17" s="42">
        <f>M17+'Rev-Capacity'!N30-M17*(Inputs!$D$62+Inputs!$D$73)/12-IF(N$7&lt;=12,Inputs!$D$16/12*(1-('Rev-Cohorts'!N12-Inputs!$D$73)),0)</f>
        <v/>
      </c>
      <c r="O17" s="42">
        <f>N17+'Rev-Capacity'!O30-N17*(Inputs!$D$62+Inputs!$D$73)/12-IF(O$7&lt;=12,Inputs!$D$16/12*(1-('Rev-Cohorts'!O12-Inputs!$D$73)),0)</f>
        <v/>
      </c>
      <c r="P17" s="42">
        <f>O17+'Rev-Capacity'!P30-O17*(Inputs!$D$62+Inputs!$D$73)/12-IF(P$7&lt;=12,Inputs!$D$16/12*(1-('Rev-Cohorts'!P12-Inputs!$D$73)),0)</f>
        <v/>
      </c>
      <c r="Q17" s="42">
        <f>P17+'Rev-Capacity'!Q30-P17*(Inputs!$D$62+Inputs!$D$73)/12-IF(Q$7&lt;=12,Inputs!$D$16/12*(1-('Rev-Cohorts'!Q12-Inputs!$D$73)),0)</f>
        <v/>
      </c>
      <c r="R17" s="42">
        <f>Q17+'Rev-Capacity'!R30-Q17*(Inputs!$D$62+Inputs!$D$73)/12-IF(R$7&lt;=12,Inputs!$D$16/12*(1-('Rev-Cohorts'!R12-Inputs!$D$73)),0)</f>
        <v/>
      </c>
      <c r="S17" s="42">
        <f>R17+'Rev-Capacity'!S30-R17*(Inputs!$D$62+Inputs!$D$73)/12-IF(S$7&lt;=12,Inputs!$D$16/12*(1-('Rev-Cohorts'!S12-Inputs!$D$73)),0)</f>
        <v/>
      </c>
      <c r="T17" s="42">
        <f>S17+'Rev-Capacity'!T30-S17*(Inputs!$D$62+Inputs!$D$73)/12-IF(T$7&lt;=12,Inputs!$D$16/12*(1-('Rev-Cohorts'!T12-Inputs!$D$73)),0)</f>
        <v/>
      </c>
      <c r="U17" s="42">
        <f>T17+'Rev-Capacity'!U30-T17*(Inputs!$D$62+Inputs!$D$73)/12-IF(U$7&lt;=12,Inputs!$D$16/12*(1-('Rev-Cohorts'!U12-Inputs!$D$73)),0)</f>
        <v/>
      </c>
      <c r="V17" s="42">
        <f>U17+'Rev-Capacity'!V30-U17*(Inputs!$D$62+Inputs!$D$73)/12-IF(V$7&lt;=12,Inputs!$D$16/12*(1-('Rev-Cohorts'!V12-Inputs!$D$73)),0)</f>
        <v/>
      </c>
      <c r="W17" s="42">
        <f>V17+'Rev-Capacity'!W30-V17*(Inputs!$D$62+Inputs!$D$73)/12-IF(W$7&lt;=12,Inputs!$D$16/12*(1-('Rev-Cohorts'!W12-Inputs!$D$73)),0)</f>
        <v/>
      </c>
      <c r="X17" s="42">
        <f>W17+'Rev-Capacity'!X30-W17*(Inputs!$D$62+Inputs!$D$73)/12-IF(X$7&lt;=12,Inputs!$D$16/12*(1-('Rev-Cohorts'!X12-Inputs!$D$73)),0)</f>
        <v/>
      </c>
      <c r="Y17" s="42">
        <f>X17+'Rev-Capacity'!Y30-X17*(Inputs!$D$62+Inputs!$D$73)/12-IF(Y$7&lt;=12,Inputs!$D$16/12*(1-('Rev-Cohorts'!Y12-Inputs!$D$73)),0)</f>
        <v/>
      </c>
      <c r="Z17" s="42">
        <f>Y17+'Rev-Capacity'!Z30-Y17*(Inputs!$D$62+Inputs!$D$73)/12-IF(Z$7&lt;=12,Inputs!$D$16/12*(1-('Rev-Cohorts'!Z12-Inputs!$D$73)),0)</f>
        <v/>
      </c>
      <c r="AA17" s="42">
        <f>Z17+'Rev-Capacity'!AA30-Z17*(Inputs!$D$62+Inputs!$D$73)/12-IF(AA$7&lt;=12,Inputs!$D$16/12*(1-('Rev-Cohorts'!AA12-Inputs!$D$73)),0)</f>
        <v/>
      </c>
      <c r="AB17" s="42">
        <f>AA17+'Rev-Capacity'!AB30-AA17*(Inputs!$D$62+Inputs!$D$73)/12-IF(AB$7&lt;=12,Inputs!$D$16/12*(1-('Rev-Cohorts'!AB12-Inputs!$D$73)),0)</f>
        <v/>
      </c>
      <c r="AC17" s="42">
        <f>AB17+'Rev-Capacity'!AC30-AB17*(Inputs!$D$62+Inputs!$D$73)/12-IF(AC$7&lt;=12,Inputs!$D$16/12*(1-('Rev-Cohorts'!AC12-Inputs!$D$73)),0)</f>
        <v/>
      </c>
      <c r="AD17" s="42">
        <f>AC17+'Rev-Capacity'!AD30-AC17*(Inputs!$D$62+Inputs!$D$73)/12-IF(AD$7&lt;=12,Inputs!$D$16/12*(1-('Rev-Cohorts'!AD12-Inputs!$D$73)),0)</f>
        <v/>
      </c>
      <c r="AE17" s="42">
        <f>AD17+'Rev-Capacity'!AE30-AD17*(Inputs!$D$62+Inputs!$D$73)/12-IF(AE$7&lt;=12,Inputs!$D$16/12*(1-('Rev-Cohorts'!AE12-Inputs!$D$73)),0)</f>
        <v/>
      </c>
      <c r="AF17" s="42">
        <f>AE17+'Rev-Capacity'!AF30-AE17*(Inputs!$D$62+Inputs!$D$73)/12-IF(AF$7&lt;=12,Inputs!$D$16/12*(1-('Rev-Cohorts'!AF12-Inputs!$D$73)),0)</f>
        <v/>
      </c>
      <c r="AG17" s="42">
        <f>AF17+'Rev-Capacity'!AG30-AF17*(Inputs!$D$62+Inputs!$D$73)/12-IF(AG$7&lt;=12,Inputs!$D$16/12*(1-('Rev-Cohorts'!AG12-Inputs!$D$73)),0)</f>
        <v/>
      </c>
      <c r="AH17" s="42">
        <f>AG17+'Rev-Capacity'!AH30-AG17*(Inputs!$D$62+Inputs!$D$73)/12-IF(AH$7&lt;=12,Inputs!$D$16/12*(1-('Rev-Cohorts'!AH12-Inputs!$D$73)),0)</f>
        <v/>
      </c>
      <c r="AI17" s="42">
        <f>AH17+'Rev-Capacity'!AI30-AH17*(Inputs!$D$62+Inputs!$D$73)/12-IF(AI$7&lt;=12,Inputs!$D$16/12*(1-('Rev-Cohorts'!AI12-Inputs!$D$73)),0)</f>
        <v/>
      </c>
      <c r="AJ17" s="42">
        <f>AI17+'Rev-Capacity'!AJ30-AI17*(Inputs!$D$62+Inputs!$D$73)/12-IF(AJ$7&lt;=12,Inputs!$D$16/12*(1-('Rev-Cohorts'!AJ12-Inputs!$D$73)),0)</f>
        <v/>
      </c>
      <c r="AK17" s="42">
        <f>AJ17+'Rev-Capacity'!AK30-AJ17*(Inputs!$D$62+Inputs!$D$73)/12-IF(AK$7&lt;=12,Inputs!$D$16/12*(1-('Rev-Cohorts'!AK12-Inputs!$D$73)),0)</f>
        <v/>
      </c>
      <c r="AL17" s="42">
        <f>AK17+'Rev-Capacity'!AL30-AK17*(Inputs!$D$62+Inputs!$D$73)/12-IF(AL$7&lt;=12,Inputs!$D$16/12*(1-('Rev-Cohorts'!AL12-Inputs!$D$73)),0)</f>
        <v/>
      </c>
      <c r="AM17" s="42">
        <f>AL17+'Rev-Capacity'!AM30-AL17*(Inputs!$D$62+Inputs!$D$73)/12-IF(AM$7&lt;=12,Inputs!$D$16/12*(1-('Rev-Cohorts'!AM12-Inputs!$D$73)),0)</f>
        <v/>
      </c>
      <c r="AN17" s="42">
        <f>AM17+'Rev-Capacity'!AN30-AM17*(Inputs!$D$62+Inputs!$D$73)/12-IF(AN$7&lt;=12,Inputs!$D$16/12*(1-('Rev-Cohorts'!AN12-Inputs!$D$73)),0)</f>
        <v/>
      </c>
      <c r="AO17" s="42">
        <f>AN17+'Rev-Capacity'!AO30-AN17*(Inputs!$D$62+Inputs!$D$73)/12-IF(AO$7&lt;=12,Inputs!$D$16/12*(1-('Rev-Cohorts'!AO12-Inputs!$D$73)),0)</f>
        <v/>
      </c>
      <c r="AP17" s="42">
        <f>AO17+'Rev-Capacity'!AP30-AO17*(Inputs!$D$62+Inputs!$D$73)/12-IF(AP$7&lt;=12,Inputs!$D$16/12*(1-('Rev-Cohorts'!AP12-Inputs!$D$73)),0)</f>
        <v/>
      </c>
      <c r="AQ17" s="42">
        <f>AP17+'Rev-Capacity'!AQ30-AP17*(Inputs!$D$62+Inputs!$D$73)/12-IF(AQ$7&lt;=12,Inputs!$D$16/12*(1-('Rev-Cohorts'!AQ12-Inputs!$D$73)),0)</f>
        <v/>
      </c>
      <c r="AR17" s="42">
        <f>AQ17+'Rev-Capacity'!AR30-AQ17*(Inputs!$D$62+Inputs!$D$73)/12-IF(AR$7&lt;=12,Inputs!$D$16/12*(1-('Rev-Cohorts'!AR12-Inputs!$D$73)),0)</f>
        <v/>
      </c>
      <c r="AS17" s="42">
        <f>AR17+'Rev-Capacity'!AS30-AR17*(Inputs!$D$62+Inputs!$D$73)/12-IF(AS$7&lt;=12,Inputs!$D$16/12*(1-('Rev-Cohorts'!AS12-Inputs!$D$73)),0)</f>
        <v/>
      </c>
      <c r="AT17" s="42">
        <f>AS17+'Rev-Capacity'!AT30-AS17*(Inputs!$D$62+Inputs!$D$73)/12-IF(AT$7&lt;=12,Inputs!$D$16/12*(1-('Rev-Cohorts'!AT12-Inputs!$D$73)),0)</f>
        <v/>
      </c>
      <c r="AU17" s="42">
        <f>AT17+'Rev-Capacity'!AU30-AT17*(Inputs!$D$62+Inputs!$D$73)/12-IF(AU$7&lt;=12,Inputs!$D$16/12*(1-('Rev-Cohorts'!AU12-Inputs!$D$73)),0)</f>
        <v/>
      </c>
      <c r="AV17" s="42">
        <f>AU17+'Rev-Capacity'!AV30-AU17*(Inputs!$D$62+Inputs!$D$73)/12-IF(AV$7&lt;=12,Inputs!$D$16/12*(1-('Rev-Cohorts'!AV12-Inputs!$D$73)),0)</f>
        <v/>
      </c>
      <c r="AW17" s="42">
        <f>AV17+'Rev-Capacity'!AW30-AV17*(Inputs!$D$62+Inputs!$D$73)/12-IF(AW$7&lt;=12,Inputs!$D$16/12*(1-('Rev-Cohorts'!AW12-Inputs!$D$73)),0)</f>
        <v/>
      </c>
      <c r="AX17" s="42">
        <f>AW17+'Rev-Capacity'!AX30-AW17*(Inputs!$D$62+Inputs!$D$73)/12-IF(AX$7&lt;=12,Inputs!$D$16/12*(1-('Rev-Cohorts'!AX12-Inputs!$D$73)),0)</f>
        <v/>
      </c>
      <c r="AY17" s="42">
        <f>AX17+'Rev-Capacity'!AY30-AX17*(Inputs!$D$62+Inputs!$D$73)/12-IF(AY$7&lt;=12,Inputs!$D$16/12*(1-('Rev-Cohorts'!AY12-Inputs!$D$73)),0)</f>
        <v/>
      </c>
      <c r="AZ17" s="42">
        <f>AY17+'Rev-Capacity'!AZ30-AY17*(Inputs!$D$62+Inputs!$D$73)/12-IF(AZ$7&lt;=12,Inputs!$D$16/12*(1-('Rev-Cohorts'!AZ12-Inputs!$D$73)),0)</f>
        <v/>
      </c>
      <c r="BA17" s="42">
        <f>AZ17+'Rev-Capacity'!BA30-AZ17*(Inputs!$D$62+Inputs!$D$73)/12-IF(BA$7&lt;=12,Inputs!$D$16/12*(1-('Rev-Cohorts'!BA12-Inputs!$D$73)),0)</f>
        <v/>
      </c>
      <c r="BB17" s="42">
        <f>BA17+'Rev-Capacity'!BB30-BA17*(Inputs!$D$62+Inputs!$D$73)/12-IF(BB$7&lt;=12,Inputs!$D$16/12*(1-('Rev-Cohorts'!BB12-Inputs!$D$73)),0)</f>
        <v/>
      </c>
      <c r="BC17" s="42">
        <f>BB17+'Rev-Capacity'!BC30-BB17*(Inputs!$D$62+Inputs!$D$73)/12-IF(BC$7&lt;=12,Inputs!$D$16/12*(1-('Rev-Cohorts'!BC12-Inputs!$D$73)),0)</f>
        <v/>
      </c>
      <c r="BD17" s="42">
        <f>BC17+'Rev-Capacity'!BD30-BC17*(Inputs!$D$62+Inputs!$D$73)/12-IF(BD$7&lt;=12,Inputs!$D$16/12*(1-('Rev-Cohorts'!BD12-Inputs!$D$73)),0)</f>
        <v/>
      </c>
      <c r="BE17" s="42">
        <f>BD17+'Rev-Capacity'!BE30-BD17*(Inputs!$D$62+Inputs!$D$73)/12-IF(BE$7&lt;=12,Inputs!$D$16/12*(1-('Rev-Cohorts'!BE12-Inputs!$D$73)),0)</f>
        <v/>
      </c>
      <c r="BF17" s="42">
        <f>BE17+'Rev-Capacity'!BF30-BE17*(Inputs!$D$62+Inputs!$D$73)/12-IF(BF$7&lt;=12,Inputs!$D$16/12*(1-('Rev-Cohorts'!BF12-Inputs!$D$73)),0)</f>
        <v/>
      </c>
      <c r="BG17" s="42">
        <f>BF17+'Rev-Capacity'!BG30-BF17*(Inputs!$D$62+Inputs!$D$73)/12-IF(BG$7&lt;=12,Inputs!$D$16/12*(1-('Rev-Cohorts'!BG12-Inputs!$D$73)),0)</f>
        <v/>
      </c>
      <c r="BH17" s="42">
        <f>BG17+'Rev-Capacity'!BH30-BG17*(Inputs!$D$62+Inputs!$D$73)/12-IF(BH$7&lt;=12,Inputs!$D$16/12*(1-('Rev-Cohorts'!BH12-Inputs!$D$73)),0)</f>
        <v/>
      </c>
      <c r="BI17" s="42">
        <f>BH17+'Rev-Capacity'!BI30-BH17*(Inputs!$D$62+Inputs!$D$73)/12-IF(BI$7&lt;=12,Inputs!$D$16/12*(1-('Rev-Cohorts'!BI12-Inputs!$D$73)),0)</f>
        <v/>
      </c>
      <c r="BJ17" s="42">
        <f>BI17+'Rev-Capacity'!BJ30-BI17*(Inputs!$D$62+Inputs!$D$73)/12-IF(BJ$7&lt;=12,Inputs!$D$16/12*(1-('Rev-Cohorts'!BJ12-Inputs!$D$73)),0)</f>
        <v/>
      </c>
      <c r="BK17" s="42">
        <f>BJ17+'Rev-Capacity'!BK30-BJ17*(Inputs!$D$62+Inputs!$D$73)/12-IF(BK$7&lt;=12,Inputs!$D$16/12*(1-('Rev-Cohorts'!BK12-Inputs!$D$73)),0)</f>
        <v/>
      </c>
      <c r="BM17" s="43">
        <f>O17</f>
        <v/>
      </c>
      <c r="BN17" s="43">
        <f>AA17</f>
        <v/>
      </c>
      <c r="BO17" s="43">
        <f>AM17</f>
        <v/>
      </c>
      <c r="BP17" s="43">
        <f>AY17</f>
        <v/>
      </c>
      <c r="BQ17" s="43">
        <f>BK17</f>
        <v/>
      </c>
    </row>
    <row r="18">
      <c r="B18" s="18" t="inlineStr">
        <is>
          <t xml:space="preserve">    Agents attach rate</t>
        </is>
      </c>
      <c r="C18" s="19" t="inlineStr">
        <is>
          <t>%</t>
        </is>
      </c>
      <c r="D18" s="50">
        <f>INDEX(Inputs!$D$94:$H$94,1,D$6-2025)*1/12</f>
        <v/>
      </c>
      <c r="E18" s="50">
        <f>INDEX(Inputs!$D$94:$H$94,1,E$6-2025)*2/12</f>
        <v/>
      </c>
      <c r="F18" s="50">
        <f>INDEX(Inputs!$D$94:$H$94,1,F$6-2025)*3/12</f>
        <v/>
      </c>
      <c r="G18" s="50">
        <f>INDEX(Inputs!$D$94:$H$94,1,G$6-2025)*4/12</f>
        <v/>
      </c>
      <c r="H18" s="50">
        <f>INDEX(Inputs!$D$94:$H$94,1,H$6-2025)*5/12</f>
        <v/>
      </c>
      <c r="I18" s="50">
        <f>INDEX(Inputs!$D$94:$H$94,1,I$6-2025)*6/12</f>
        <v/>
      </c>
      <c r="J18" s="50">
        <f>INDEX(Inputs!$D$94:$H$94,1,J$6-2025)*7/12</f>
        <v/>
      </c>
      <c r="K18" s="50">
        <f>INDEX(Inputs!$D$94:$H$94,1,K$6-2025)*8/12</f>
        <v/>
      </c>
      <c r="L18" s="50">
        <f>INDEX(Inputs!$D$94:$H$94,1,L$6-2025)*9/12</f>
        <v/>
      </c>
      <c r="M18" s="50">
        <f>INDEX(Inputs!$D$94:$H$94,1,M$6-2025)*10/12</f>
        <v/>
      </c>
      <c r="N18" s="50">
        <f>INDEX(Inputs!$D$94:$H$94,1,N$6-2025)*11/12</f>
        <v/>
      </c>
      <c r="O18" s="50">
        <f>INDEX(Inputs!$D$94:$H$94,1,O$6-2025)*12/12</f>
        <v/>
      </c>
      <c r="P18" s="50">
        <f>O18+(INDEX(Inputs!$D$94:$H$94,1,P$6-2025)-O18)*1/12</f>
        <v/>
      </c>
      <c r="Q18" s="50">
        <f>O18+(INDEX(Inputs!$D$94:$H$94,1,Q$6-2025)-O18)*2/12</f>
        <v/>
      </c>
      <c r="R18" s="50">
        <f>O18+(INDEX(Inputs!$D$94:$H$94,1,R$6-2025)-O18)*3/12</f>
        <v/>
      </c>
      <c r="S18" s="50">
        <f>O18+(INDEX(Inputs!$D$94:$H$94,1,S$6-2025)-O18)*4/12</f>
        <v/>
      </c>
      <c r="T18" s="50">
        <f>O18+(INDEX(Inputs!$D$94:$H$94,1,T$6-2025)-O18)*5/12</f>
        <v/>
      </c>
      <c r="U18" s="50">
        <f>O18+(INDEX(Inputs!$D$94:$H$94,1,U$6-2025)-O18)*6/12</f>
        <v/>
      </c>
      <c r="V18" s="50">
        <f>O18+(INDEX(Inputs!$D$94:$H$94,1,V$6-2025)-O18)*7/12</f>
        <v/>
      </c>
      <c r="W18" s="50">
        <f>O18+(INDEX(Inputs!$D$94:$H$94,1,W$6-2025)-O18)*8/12</f>
        <v/>
      </c>
      <c r="X18" s="50">
        <f>O18+(INDEX(Inputs!$D$94:$H$94,1,X$6-2025)-O18)*9/12</f>
        <v/>
      </c>
      <c r="Y18" s="50">
        <f>O18+(INDEX(Inputs!$D$94:$H$94,1,Y$6-2025)-O18)*10/12</f>
        <v/>
      </c>
      <c r="Z18" s="50">
        <f>O18+(INDEX(Inputs!$D$94:$H$94,1,Z$6-2025)-O18)*11/12</f>
        <v/>
      </c>
      <c r="AA18" s="50">
        <f>O18+(INDEX(Inputs!$D$94:$H$94,1,AA$6-2025)-O18)*12/12</f>
        <v/>
      </c>
      <c r="AB18" s="50">
        <f>AA18+(INDEX(Inputs!$D$94:$H$94,1,AB$6-2025)-AA18)*1/12</f>
        <v/>
      </c>
      <c r="AC18" s="50">
        <f>AA18+(INDEX(Inputs!$D$94:$H$94,1,AC$6-2025)-AA18)*2/12</f>
        <v/>
      </c>
      <c r="AD18" s="50">
        <f>AA18+(INDEX(Inputs!$D$94:$H$94,1,AD$6-2025)-AA18)*3/12</f>
        <v/>
      </c>
      <c r="AE18" s="50">
        <f>AA18+(INDEX(Inputs!$D$94:$H$94,1,AE$6-2025)-AA18)*4/12</f>
        <v/>
      </c>
      <c r="AF18" s="50">
        <f>AA18+(INDEX(Inputs!$D$94:$H$94,1,AF$6-2025)-AA18)*5/12</f>
        <v/>
      </c>
      <c r="AG18" s="50">
        <f>AA18+(INDEX(Inputs!$D$94:$H$94,1,AG$6-2025)-AA18)*6/12</f>
        <v/>
      </c>
      <c r="AH18" s="50">
        <f>AA18+(INDEX(Inputs!$D$94:$H$94,1,AH$6-2025)-AA18)*7/12</f>
        <v/>
      </c>
      <c r="AI18" s="50">
        <f>AA18+(INDEX(Inputs!$D$94:$H$94,1,AI$6-2025)-AA18)*8/12</f>
        <v/>
      </c>
      <c r="AJ18" s="50">
        <f>AA18+(INDEX(Inputs!$D$94:$H$94,1,AJ$6-2025)-AA18)*9/12</f>
        <v/>
      </c>
      <c r="AK18" s="50">
        <f>AA18+(INDEX(Inputs!$D$94:$H$94,1,AK$6-2025)-AA18)*10/12</f>
        <v/>
      </c>
      <c r="AL18" s="50">
        <f>AA18+(INDEX(Inputs!$D$94:$H$94,1,AL$6-2025)-AA18)*11/12</f>
        <v/>
      </c>
      <c r="AM18" s="50">
        <f>AA18+(INDEX(Inputs!$D$94:$H$94,1,AM$6-2025)-AA18)*12/12</f>
        <v/>
      </c>
      <c r="AN18" s="50">
        <f>AM18+(INDEX(Inputs!$D$94:$H$94,1,AN$6-2025)-AM18)*1/12</f>
        <v/>
      </c>
      <c r="AO18" s="50">
        <f>AM18+(INDEX(Inputs!$D$94:$H$94,1,AO$6-2025)-AM18)*2/12</f>
        <v/>
      </c>
      <c r="AP18" s="50">
        <f>AM18+(INDEX(Inputs!$D$94:$H$94,1,AP$6-2025)-AM18)*3/12</f>
        <v/>
      </c>
      <c r="AQ18" s="50">
        <f>AM18+(INDEX(Inputs!$D$94:$H$94,1,AQ$6-2025)-AM18)*4/12</f>
        <v/>
      </c>
      <c r="AR18" s="50">
        <f>AM18+(INDEX(Inputs!$D$94:$H$94,1,AR$6-2025)-AM18)*5/12</f>
        <v/>
      </c>
      <c r="AS18" s="50">
        <f>AM18+(INDEX(Inputs!$D$94:$H$94,1,AS$6-2025)-AM18)*6/12</f>
        <v/>
      </c>
      <c r="AT18" s="50">
        <f>AM18+(INDEX(Inputs!$D$94:$H$94,1,AT$6-2025)-AM18)*7/12</f>
        <v/>
      </c>
      <c r="AU18" s="50">
        <f>AM18+(INDEX(Inputs!$D$94:$H$94,1,AU$6-2025)-AM18)*8/12</f>
        <v/>
      </c>
      <c r="AV18" s="50">
        <f>AM18+(INDEX(Inputs!$D$94:$H$94,1,AV$6-2025)-AM18)*9/12</f>
        <v/>
      </c>
      <c r="AW18" s="50">
        <f>AM18+(INDEX(Inputs!$D$94:$H$94,1,AW$6-2025)-AM18)*10/12</f>
        <v/>
      </c>
      <c r="AX18" s="50">
        <f>AM18+(INDEX(Inputs!$D$94:$H$94,1,AX$6-2025)-AM18)*11/12</f>
        <v/>
      </c>
      <c r="AY18" s="50">
        <f>AM18+(INDEX(Inputs!$D$94:$H$94,1,AY$6-2025)-AM18)*12/12</f>
        <v/>
      </c>
      <c r="AZ18" s="50">
        <f>AY18+(INDEX(Inputs!$D$94:$H$94,1,AZ$6-2025)-AY18)*1/12</f>
        <v/>
      </c>
      <c r="BA18" s="50">
        <f>AY18+(INDEX(Inputs!$D$94:$H$94,1,BA$6-2025)-AY18)*2/12</f>
        <v/>
      </c>
      <c r="BB18" s="50">
        <f>AY18+(INDEX(Inputs!$D$94:$H$94,1,BB$6-2025)-AY18)*3/12</f>
        <v/>
      </c>
      <c r="BC18" s="50">
        <f>AY18+(INDEX(Inputs!$D$94:$H$94,1,BC$6-2025)-AY18)*4/12</f>
        <v/>
      </c>
      <c r="BD18" s="50">
        <f>AY18+(INDEX(Inputs!$D$94:$H$94,1,BD$6-2025)-AY18)*5/12</f>
        <v/>
      </c>
      <c r="BE18" s="50">
        <f>AY18+(INDEX(Inputs!$D$94:$H$94,1,BE$6-2025)-AY18)*6/12</f>
        <v/>
      </c>
      <c r="BF18" s="50">
        <f>AY18+(INDEX(Inputs!$D$94:$H$94,1,BF$6-2025)-AY18)*7/12</f>
        <v/>
      </c>
      <c r="BG18" s="50">
        <f>AY18+(INDEX(Inputs!$D$94:$H$94,1,BG$6-2025)-AY18)*8/12</f>
        <v/>
      </c>
      <c r="BH18" s="50">
        <f>AY18+(INDEX(Inputs!$D$94:$H$94,1,BH$6-2025)-AY18)*9/12</f>
        <v/>
      </c>
      <c r="BI18" s="50">
        <f>AY18+(INDEX(Inputs!$D$94:$H$94,1,BI$6-2025)-AY18)*10/12</f>
        <v/>
      </c>
      <c r="BJ18" s="50">
        <f>AY18+(INDEX(Inputs!$D$94:$H$94,1,BJ$6-2025)-AY18)*11/12</f>
        <v/>
      </c>
      <c r="BK18" s="50">
        <f>AY18+(INDEX(Inputs!$D$94:$H$94,1,BK$6-2025)-AY18)*12/12</f>
        <v/>
      </c>
    </row>
    <row r="19">
      <c r="B19" s="18" t="inlineStr">
        <is>
          <t xml:space="preserve">    Agents customers</t>
        </is>
      </c>
      <c r="C19" s="19" t="inlineStr">
        <is>
          <t>#</t>
        </is>
      </c>
      <c r="D19" s="44">
        <f>D17*D18</f>
        <v/>
      </c>
      <c r="E19" s="44">
        <f>E17*E18</f>
        <v/>
      </c>
      <c r="F19" s="44">
        <f>F17*F18</f>
        <v/>
      </c>
      <c r="G19" s="44">
        <f>G17*G18</f>
        <v/>
      </c>
      <c r="H19" s="44">
        <f>H17*H18</f>
        <v/>
      </c>
      <c r="I19" s="44">
        <f>I17*I18</f>
        <v/>
      </c>
      <c r="J19" s="44">
        <f>J17*J18</f>
        <v/>
      </c>
      <c r="K19" s="44">
        <f>K17*K18</f>
        <v/>
      </c>
      <c r="L19" s="44">
        <f>L17*L18</f>
        <v/>
      </c>
      <c r="M19" s="44">
        <f>M17*M18</f>
        <v/>
      </c>
      <c r="N19" s="44">
        <f>N17*N18</f>
        <v/>
      </c>
      <c r="O19" s="44">
        <f>O17*O18</f>
        <v/>
      </c>
      <c r="P19" s="44">
        <f>P17*P18</f>
        <v/>
      </c>
      <c r="Q19" s="44">
        <f>Q17*Q18</f>
        <v/>
      </c>
      <c r="R19" s="44">
        <f>R17*R18</f>
        <v/>
      </c>
      <c r="S19" s="44">
        <f>S17*S18</f>
        <v/>
      </c>
      <c r="T19" s="44">
        <f>T17*T18</f>
        <v/>
      </c>
      <c r="U19" s="44">
        <f>U17*U18</f>
        <v/>
      </c>
      <c r="V19" s="44">
        <f>V17*V18</f>
        <v/>
      </c>
      <c r="W19" s="44">
        <f>W17*W18</f>
        <v/>
      </c>
      <c r="X19" s="44">
        <f>X17*X18</f>
        <v/>
      </c>
      <c r="Y19" s="44">
        <f>Y17*Y18</f>
        <v/>
      </c>
      <c r="Z19" s="44">
        <f>Z17*Z18</f>
        <v/>
      </c>
      <c r="AA19" s="44">
        <f>AA17*AA18</f>
        <v/>
      </c>
      <c r="AB19" s="44">
        <f>AB17*AB18</f>
        <v/>
      </c>
      <c r="AC19" s="44">
        <f>AC17*AC18</f>
        <v/>
      </c>
      <c r="AD19" s="44">
        <f>AD17*AD18</f>
        <v/>
      </c>
      <c r="AE19" s="44">
        <f>AE17*AE18</f>
        <v/>
      </c>
      <c r="AF19" s="44">
        <f>AF17*AF18</f>
        <v/>
      </c>
      <c r="AG19" s="44">
        <f>AG17*AG18</f>
        <v/>
      </c>
      <c r="AH19" s="44">
        <f>AH17*AH18</f>
        <v/>
      </c>
      <c r="AI19" s="44">
        <f>AI17*AI18</f>
        <v/>
      </c>
      <c r="AJ19" s="44">
        <f>AJ17*AJ18</f>
        <v/>
      </c>
      <c r="AK19" s="44">
        <f>AK17*AK18</f>
        <v/>
      </c>
      <c r="AL19" s="44">
        <f>AL17*AL18</f>
        <v/>
      </c>
      <c r="AM19" s="44">
        <f>AM17*AM18</f>
        <v/>
      </c>
      <c r="AN19" s="44">
        <f>AN17*AN18</f>
        <v/>
      </c>
      <c r="AO19" s="44">
        <f>AO17*AO18</f>
        <v/>
      </c>
      <c r="AP19" s="44">
        <f>AP17*AP18</f>
        <v/>
      </c>
      <c r="AQ19" s="44">
        <f>AQ17*AQ18</f>
        <v/>
      </c>
      <c r="AR19" s="44">
        <f>AR17*AR18</f>
        <v/>
      </c>
      <c r="AS19" s="44">
        <f>AS17*AS18</f>
        <v/>
      </c>
      <c r="AT19" s="44">
        <f>AT17*AT18</f>
        <v/>
      </c>
      <c r="AU19" s="44">
        <f>AU17*AU18</f>
        <v/>
      </c>
      <c r="AV19" s="44">
        <f>AV17*AV18</f>
        <v/>
      </c>
      <c r="AW19" s="44">
        <f>AW17*AW18</f>
        <v/>
      </c>
      <c r="AX19" s="44">
        <f>AX17*AX18</f>
        <v/>
      </c>
      <c r="AY19" s="44">
        <f>AY17*AY18</f>
        <v/>
      </c>
      <c r="AZ19" s="44">
        <f>AZ17*AZ18</f>
        <v/>
      </c>
      <c r="BA19" s="44">
        <f>BA17*BA18</f>
        <v/>
      </c>
      <c r="BB19" s="44">
        <f>BB17*BB18</f>
        <v/>
      </c>
      <c r="BC19" s="44">
        <f>BC17*BC18</f>
        <v/>
      </c>
      <c r="BD19" s="44">
        <f>BD17*BD18</f>
        <v/>
      </c>
      <c r="BE19" s="44">
        <f>BE17*BE18</f>
        <v/>
      </c>
      <c r="BF19" s="44">
        <f>BF17*BF18</f>
        <v/>
      </c>
      <c r="BG19" s="44">
        <f>BG17*BG18</f>
        <v/>
      </c>
      <c r="BH19" s="44">
        <f>BH17*BH18</f>
        <v/>
      </c>
      <c r="BI19" s="44">
        <f>BI17*BI18</f>
        <v/>
      </c>
      <c r="BJ19" s="44">
        <f>BJ17*BJ18</f>
        <v/>
      </c>
      <c r="BK19" s="44">
        <f>BK17*BK18</f>
        <v/>
      </c>
    </row>
    <row r="20">
      <c r="B20" s="18" t="inlineStr">
        <is>
          <t xml:space="preserve">    Agents ACV</t>
        </is>
      </c>
      <c r="C20" s="19" t="inlineStr">
        <is>
          <t>$</t>
        </is>
      </c>
      <c r="D20" s="51">
        <f>Inputs!$D$76*INDEX(Inputs!$D$102:$H$102,1,D$6-2025)*(1+((1+INDEX(Inputs!$D$110:$H$110,1,D$6-2025))^(1/12)-1))^0</f>
        <v/>
      </c>
      <c r="E20" s="51">
        <f>Inputs!$D$76*INDEX(Inputs!$D$102:$H$102,1,E$6-2025)*(1+((1+INDEX(Inputs!$D$110:$H$110,1,E$6-2025))^(1/12)-1))^1</f>
        <v/>
      </c>
      <c r="F20" s="51">
        <f>Inputs!$D$76*INDEX(Inputs!$D$102:$H$102,1,F$6-2025)*(1+((1+INDEX(Inputs!$D$110:$H$110,1,F$6-2025))^(1/12)-1))^2</f>
        <v/>
      </c>
      <c r="G20" s="51">
        <f>Inputs!$D$76*INDEX(Inputs!$D$102:$H$102,1,G$6-2025)*(1+((1+INDEX(Inputs!$D$110:$H$110,1,G$6-2025))^(1/12)-1))^3</f>
        <v/>
      </c>
      <c r="H20" s="51">
        <f>Inputs!$D$76*INDEX(Inputs!$D$102:$H$102,1,H$6-2025)*(1+((1+INDEX(Inputs!$D$110:$H$110,1,H$6-2025))^(1/12)-1))^4</f>
        <v/>
      </c>
      <c r="I20" s="51">
        <f>Inputs!$D$76*INDEX(Inputs!$D$102:$H$102,1,I$6-2025)*(1+((1+INDEX(Inputs!$D$110:$H$110,1,I$6-2025))^(1/12)-1))^5</f>
        <v/>
      </c>
      <c r="J20" s="51">
        <f>Inputs!$D$76*INDEX(Inputs!$D$102:$H$102,1,J$6-2025)*(1+((1+INDEX(Inputs!$D$110:$H$110,1,J$6-2025))^(1/12)-1))^6</f>
        <v/>
      </c>
      <c r="K20" s="51">
        <f>Inputs!$D$76*INDEX(Inputs!$D$102:$H$102,1,K$6-2025)*(1+((1+INDEX(Inputs!$D$110:$H$110,1,K$6-2025))^(1/12)-1))^7</f>
        <v/>
      </c>
      <c r="L20" s="51">
        <f>Inputs!$D$76*INDEX(Inputs!$D$102:$H$102,1,L$6-2025)*(1+((1+INDEX(Inputs!$D$110:$H$110,1,L$6-2025))^(1/12)-1))^8</f>
        <v/>
      </c>
      <c r="M20" s="51">
        <f>Inputs!$D$76*INDEX(Inputs!$D$102:$H$102,1,M$6-2025)*(1+((1+INDEX(Inputs!$D$110:$H$110,1,M$6-2025))^(1/12)-1))^9</f>
        <v/>
      </c>
      <c r="N20" s="51">
        <f>Inputs!$D$76*INDEX(Inputs!$D$102:$H$102,1,N$6-2025)*(1+((1+INDEX(Inputs!$D$110:$H$110,1,N$6-2025))^(1/12)-1))^10</f>
        <v/>
      </c>
      <c r="O20" s="51">
        <f>Inputs!$D$76*INDEX(Inputs!$D$102:$H$102,1,O$6-2025)*(1+((1+INDEX(Inputs!$D$110:$H$110,1,O$6-2025))^(1/12)-1))^11</f>
        <v/>
      </c>
      <c r="P20" s="51">
        <f>Inputs!$D$76*INDEX(Inputs!$D$102:$H$102,1,P$6-2025)*(1+((1+INDEX(Inputs!$D$110:$H$110,1,P$6-2025))^(1/12)-1))^12</f>
        <v/>
      </c>
      <c r="Q20" s="51">
        <f>Inputs!$D$76*INDEX(Inputs!$D$102:$H$102,1,Q$6-2025)*(1+((1+INDEX(Inputs!$D$110:$H$110,1,Q$6-2025))^(1/12)-1))^13</f>
        <v/>
      </c>
      <c r="R20" s="51">
        <f>Inputs!$D$76*INDEX(Inputs!$D$102:$H$102,1,R$6-2025)*(1+((1+INDEX(Inputs!$D$110:$H$110,1,R$6-2025))^(1/12)-1))^14</f>
        <v/>
      </c>
      <c r="S20" s="51">
        <f>Inputs!$D$76*INDEX(Inputs!$D$102:$H$102,1,S$6-2025)*(1+((1+INDEX(Inputs!$D$110:$H$110,1,S$6-2025))^(1/12)-1))^15</f>
        <v/>
      </c>
      <c r="T20" s="51">
        <f>Inputs!$D$76*INDEX(Inputs!$D$102:$H$102,1,T$6-2025)*(1+((1+INDEX(Inputs!$D$110:$H$110,1,T$6-2025))^(1/12)-1))^16</f>
        <v/>
      </c>
      <c r="U20" s="51">
        <f>Inputs!$D$76*INDEX(Inputs!$D$102:$H$102,1,U$6-2025)*(1+((1+INDEX(Inputs!$D$110:$H$110,1,U$6-2025))^(1/12)-1))^17</f>
        <v/>
      </c>
      <c r="V20" s="51">
        <f>Inputs!$D$76*INDEX(Inputs!$D$102:$H$102,1,V$6-2025)*(1+((1+INDEX(Inputs!$D$110:$H$110,1,V$6-2025))^(1/12)-1))^18</f>
        <v/>
      </c>
      <c r="W20" s="51">
        <f>Inputs!$D$76*INDEX(Inputs!$D$102:$H$102,1,W$6-2025)*(1+((1+INDEX(Inputs!$D$110:$H$110,1,W$6-2025))^(1/12)-1))^19</f>
        <v/>
      </c>
      <c r="X20" s="51">
        <f>Inputs!$D$76*INDEX(Inputs!$D$102:$H$102,1,X$6-2025)*(1+((1+INDEX(Inputs!$D$110:$H$110,1,X$6-2025))^(1/12)-1))^20</f>
        <v/>
      </c>
      <c r="Y20" s="51">
        <f>Inputs!$D$76*INDEX(Inputs!$D$102:$H$102,1,Y$6-2025)*(1+((1+INDEX(Inputs!$D$110:$H$110,1,Y$6-2025))^(1/12)-1))^21</f>
        <v/>
      </c>
      <c r="Z20" s="51">
        <f>Inputs!$D$76*INDEX(Inputs!$D$102:$H$102,1,Z$6-2025)*(1+((1+INDEX(Inputs!$D$110:$H$110,1,Z$6-2025))^(1/12)-1))^22</f>
        <v/>
      </c>
      <c r="AA20" s="51">
        <f>Inputs!$D$76*INDEX(Inputs!$D$102:$H$102,1,AA$6-2025)*(1+((1+INDEX(Inputs!$D$110:$H$110,1,AA$6-2025))^(1/12)-1))^23</f>
        <v/>
      </c>
      <c r="AB20" s="51">
        <f>Inputs!$D$76*INDEX(Inputs!$D$102:$H$102,1,AB$6-2025)*(1+((1+INDEX(Inputs!$D$110:$H$110,1,AB$6-2025))^(1/12)-1))^24</f>
        <v/>
      </c>
      <c r="AC20" s="51">
        <f>Inputs!$D$76*INDEX(Inputs!$D$102:$H$102,1,AC$6-2025)*(1+((1+INDEX(Inputs!$D$110:$H$110,1,AC$6-2025))^(1/12)-1))^25</f>
        <v/>
      </c>
      <c r="AD20" s="51">
        <f>Inputs!$D$76*INDEX(Inputs!$D$102:$H$102,1,AD$6-2025)*(1+((1+INDEX(Inputs!$D$110:$H$110,1,AD$6-2025))^(1/12)-1))^26</f>
        <v/>
      </c>
      <c r="AE20" s="51">
        <f>Inputs!$D$76*INDEX(Inputs!$D$102:$H$102,1,AE$6-2025)*(1+((1+INDEX(Inputs!$D$110:$H$110,1,AE$6-2025))^(1/12)-1))^27</f>
        <v/>
      </c>
      <c r="AF20" s="51">
        <f>Inputs!$D$76*INDEX(Inputs!$D$102:$H$102,1,AF$6-2025)*(1+((1+INDEX(Inputs!$D$110:$H$110,1,AF$6-2025))^(1/12)-1))^28</f>
        <v/>
      </c>
      <c r="AG20" s="51">
        <f>Inputs!$D$76*INDEX(Inputs!$D$102:$H$102,1,AG$6-2025)*(1+((1+INDEX(Inputs!$D$110:$H$110,1,AG$6-2025))^(1/12)-1))^29</f>
        <v/>
      </c>
      <c r="AH20" s="51">
        <f>Inputs!$D$76*INDEX(Inputs!$D$102:$H$102,1,AH$6-2025)*(1+((1+INDEX(Inputs!$D$110:$H$110,1,AH$6-2025))^(1/12)-1))^30</f>
        <v/>
      </c>
      <c r="AI20" s="51">
        <f>Inputs!$D$76*INDEX(Inputs!$D$102:$H$102,1,AI$6-2025)*(1+((1+INDEX(Inputs!$D$110:$H$110,1,AI$6-2025))^(1/12)-1))^31</f>
        <v/>
      </c>
      <c r="AJ20" s="51">
        <f>Inputs!$D$76*INDEX(Inputs!$D$102:$H$102,1,AJ$6-2025)*(1+((1+INDEX(Inputs!$D$110:$H$110,1,AJ$6-2025))^(1/12)-1))^32</f>
        <v/>
      </c>
      <c r="AK20" s="51">
        <f>Inputs!$D$76*INDEX(Inputs!$D$102:$H$102,1,AK$6-2025)*(1+((1+INDEX(Inputs!$D$110:$H$110,1,AK$6-2025))^(1/12)-1))^33</f>
        <v/>
      </c>
      <c r="AL20" s="51">
        <f>Inputs!$D$76*INDEX(Inputs!$D$102:$H$102,1,AL$6-2025)*(1+((1+INDEX(Inputs!$D$110:$H$110,1,AL$6-2025))^(1/12)-1))^34</f>
        <v/>
      </c>
      <c r="AM20" s="51">
        <f>Inputs!$D$76*INDEX(Inputs!$D$102:$H$102,1,AM$6-2025)*(1+((1+INDEX(Inputs!$D$110:$H$110,1,AM$6-2025))^(1/12)-1))^35</f>
        <v/>
      </c>
      <c r="AN20" s="51">
        <f>Inputs!$D$76*INDEX(Inputs!$D$102:$H$102,1,AN$6-2025)*(1+((1+INDEX(Inputs!$D$110:$H$110,1,AN$6-2025))^(1/12)-1))^36</f>
        <v/>
      </c>
      <c r="AO20" s="51">
        <f>Inputs!$D$76*INDEX(Inputs!$D$102:$H$102,1,AO$6-2025)*(1+((1+INDEX(Inputs!$D$110:$H$110,1,AO$6-2025))^(1/12)-1))^37</f>
        <v/>
      </c>
      <c r="AP20" s="51">
        <f>Inputs!$D$76*INDEX(Inputs!$D$102:$H$102,1,AP$6-2025)*(1+((1+INDEX(Inputs!$D$110:$H$110,1,AP$6-2025))^(1/12)-1))^38</f>
        <v/>
      </c>
      <c r="AQ20" s="51">
        <f>Inputs!$D$76*INDEX(Inputs!$D$102:$H$102,1,AQ$6-2025)*(1+((1+INDEX(Inputs!$D$110:$H$110,1,AQ$6-2025))^(1/12)-1))^39</f>
        <v/>
      </c>
      <c r="AR20" s="51">
        <f>Inputs!$D$76*INDEX(Inputs!$D$102:$H$102,1,AR$6-2025)*(1+((1+INDEX(Inputs!$D$110:$H$110,1,AR$6-2025))^(1/12)-1))^40</f>
        <v/>
      </c>
      <c r="AS20" s="51">
        <f>Inputs!$D$76*INDEX(Inputs!$D$102:$H$102,1,AS$6-2025)*(1+((1+INDEX(Inputs!$D$110:$H$110,1,AS$6-2025))^(1/12)-1))^41</f>
        <v/>
      </c>
      <c r="AT20" s="51">
        <f>Inputs!$D$76*INDEX(Inputs!$D$102:$H$102,1,AT$6-2025)*(1+((1+INDEX(Inputs!$D$110:$H$110,1,AT$6-2025))^(1/12)-1))^42</f>
        <v/>
      </c>
      <c r="AU20" s="51">
        <f>Inputs!$D$76*INDEX(Inputs!$D$102:$H$102,1,AU$6-2025)*(1+((1+INDEX(Inputs!$D$110:$H$110,1,AU$6-2025))^(1/12)-1))^43</f>
        <v/>
      </c>
      <c r="AV20" s="51">
        <f>Inputs!$D$76*INDEX(Inputs!$D$102:$H$102,1,AV$6-2025)*(1+((1+INDEX(Inputs!$D$110:$H$110,1,AV$6-2025))^(1/12)-1))^44</f>
        <v/>
      </c>
      <c r="AW20" s="51">
        <f>Inputs!$D$76*INDEX(Inputs!$D$102:$H$102,1,AW$6-2025)*(1+((1+INDEX(Inputs!$D$110:$H$110,1,AW$6-2025))^(1/12)-1))^45</f>
        <v/>
      </c>
      <c r="AX20" s="51">
        <f>Inputs!$D$76*INDEX(Inputs!$D$102:$H$102,1,AX$6-2025)*(1+((1+INDEX(Inputs!$D$110:$H$110,1,AX$6-2025))^(1/12)-1))^46</f>
        <v/>
      </c>
      <c r="AY20" s="51">
        <f>Inputs!$D$76*INDEX(Inputs!$D$102:$H$102,1,AY$6-2025)*(1+((1+INDEX(Inputs!$D$110:$H$110,1,AY$6-2025))^(1/12)-1))^47</f>
        <v/>
      </c>
      <c r="AZ20" s="51">
        <f>Inputs!$D$76*INDEX(Inputs!$D$102:$H$102,1,AZ$6-2025)*(1+((1+INDEX(Inputs!$D$110:$H$110,1,AZ$6-2025))^(1/12)-1))^48</f>
        <v/>
      </c>
      <c r="BA20" s="51">
        <f>Inputs!$D$76*INDEX(Inputs!$D$102:$H$102,1,BA$6-2025)*(1+((1+INDEX(Inputs!$D$110:$H$110,1,BA$6-2025))^(1/12)-1))^49</f>
        <v/>
      </c>
      <c r="BB20" s="51">
        <f>Inputs!$D$76*INDEX(Inputs!$D$102:$H$102,1,BB$6-2025)*(1+((1+INDEX(Inputs!$D$110:$H$110,1,BB$6-2025))^(1/12)-1))^50</f>
        <v/>
      </c>
      <c r="BC20" s="51">
        <f>Inputs!$D$76*INDEX(Inputs!$D$102:$H$102,1,BC$6-2025)*(1+((1+INDEX(Inputs!$D$110:$H$110,1,BC$6-2025))^(1/12)-1))^51</f>
        <v/>
      </c>
      <c r="BD20" s="51">
        <f>Inputs!$D$76*INDEX(Inputs!$D$102:$H$102,1,BD$6-2025)*(1+((1+INDEX(Inputs!$D$110:$H$110,1,BD$6-2025))^(1/12)-1))^52</f>
        <v/>
      </c>
      <c r="BE20" s="51">
        <f>Inputs!$D$76*INDEX(Inputs!$D$102:$H$102,1,BE$6-2025)*(1+((1+INDEX(Inputs!$D$110:$H$110,1,BE$6-2025))^(1/12)-1))^53</f>
        <v/>
      </c>
      <c r="BF20" s="51">
        <f>Inputs!$D$76*INDEX(Inputs!$D$102:$H$102,1,BF$6-2025)*(1+((1+INDEX(Inputs!$D$110:$H$110,1,BF$6-2025))^(1/12)-1))^54</f>
        <v/>
      </c>
      <c r="BG20" s="51">
        <f>Inputs!$D$76*INDEX(Inputs!$D$102:$H$102,1,BG$6-2025)*(1+((1+INDEX(Inputs!$D$110:$H$110,1,BG$6-2025))^(1/12)-1))^55</f>
        <v/>
      </c>
      <c r="BH20" s="51">
        <f>Inputs!$D$76*INDEX(Inputs!$D$102:$H$102,1,BH$6-2025)*(1+((1+INDEX(Inputs!$D$110:$H$110,1,BH$6-2025))^(1/12)-1))^56</f>
        <v/>
      </c>
      <c r="BI20" s="51">
        <f>Inputs!$D$76*INDEX(Inputs!$D$102:$H$102,1,BI$6-2025)*(1+((1+INDEX(Inputs!$D$110:$H$110,1,BI$6-2025))^(1/12)-1))^57</f>
        <v/>
      </c>
      <c r="BJ20" s="51">
        <f>Inputs!$D$76*INDEX(Inputs!$D$102:$H$102,1,BJ$6-2025)*(1+((1+INDEX(Inputs!$D$110:$H$110,1,BJ$6-2025))^(1/12)-1))^58</f>
        <v/>
      </c>
      <c r="BK20" s="51">
        <f>Inputs!$D$76*INDEX(Inputs!$D$102:$H$102,1,BK$6-2025)*(1+((1+INDEX(Inputs!$D$110:$H$110,1,BK$6-2025))^(1/12)-1))^59</f>
        <v/>
      </c>
    </row>
    <row r="21">
      <c r="B21" s="29" t="inlineStr">
        <is>
          <t xml:space="preserve">    Agents ARR</t>
        </is>
      </c>
      <c r="C21" s="19" t="inlineStr">
        <is>
          <t>$</t>
        </is>
      </c>
      <c r="D21" s="46">
        <f>D19*D20</f>
        <v/>
      </c>
      <c r="E21" s="46">
        <f>E19*E20</f>
        <v/>
      </c>
      <c r="F21" s="46">
        <f>F19*F20</f>
        <v/>
      </c>
      <c r="G21" s="46">
        <f>G19*G20</f>
        <v/>
      </c>
      <c r="H21" s="46">
        <f>H19*H20</f>
        <v/>
      </c>
      <c r="I21" s="46">
        <f>I19*I20</f>
        <v/>
      </c>
      <c r="J21" s="46">
        <f>J19*J20</f>
        <v/>
      </c>
      <c r="K21" s="46">
        <f>K19*K20</f>
        <v/>
      </c>
      <c r="L21" s="46">
        <f>L19*L20</f>
        <v/>
      </c>
      <c r="M21" s="46">
        <f>M19*M20</f>
        <v/>
      </c>
      <c r="N21" s="46">
        <f>N19*N20</f>
        <v/>
      </c>
      <c r="O21" s="46">
        <f>O19*O20</f>
        <v/>
      </c>
      <c r="P21" s="46">
        <f>P19*P20</f>
        <v/>
      </c>
      <c r="Q21" s="46">
        <f>Q19*Q20</f>
        <v/>
      </c>
      <c r="R21" s="46">
        <f>R19*R20</f>
        <v/>
      </c>
      <c r="S21" s="46">
        <f>S19*S20</f>
        <v/>
      </c>
      <c r="T21" s="46">
        <f>T19*T20</f>
        <v/>
      </c>
      <c r="U21" s="46">
        <f>U19*U20</f>
        <v/>
      </c>
      <c r="V21" s="46">
        <f>V19*V20</f>
        <v/>
      </c>
      <c r="W21" s="46">
        <f>W19*W20</f>
        <v/>
      </c>
      <c r="X21" s="46">
        <f>X19*X20</f>
        <v/>
      </c>
      <c r="Y21" s="46">
        <f>Y19*Y20</f>
        <v/>
      </c>
      <c r="Z21" s="46">
        <f>Z19*Z20</f>
        <v/>
      </c>
      <c r="AA21" s="46">
        <f>AA19*AA20</f>
        <v/>
      </c>
      <c r="AB21" s="46">
        <f>AB19*AB20</f>
        <v/>
      </c>
      <c r="AC21" s="46">
        <f>AC19*AC20</f>
        <v/>
      </c>
      <c r="AD21" s="46">
        <f>AD19*AD20</f>
        <v/>
      </c>
      <c r="AE21" s="46">
        <f>AE19*AE20</f>
        <v/>
      </c>
      <c r="AF21" s="46">
        <f>AF19*AF20</f>
        <v/>
      </c>
      <c r="AG21" s="46">
        <f>AG19*AG20</f>
        <v/>
      </c>
      <c r="AH21" s="46">
        <f>AH19*AH20</f>
        <v/>
      </c>
      <c r="AI21" s="46">
        <f>AI19*AI20</f>
        <v/>
      </c>
      <c r="AJ21" s="46">
        <f>AJ19*AJ20</f>
        <v/>
      </c>
      <c r="AK21" s="46">
        <f>AK19*AK20</f>
        <v/>
      </c>
      <c r="AL21" s="46">
        <f>AL19*AL20</f>
        <v/>
      </c>
      <c r="AM21" s="46">
        <f>AM19*AM20</f>
        <v/>
      </c>
      <c r="AN21" s="46">
        <f>AN19*AN20</f>
        <v/>
      </c>
      <c r="AO21" s="46">
        <f>AO19*AO20</f>
        <v/>
      </c>
      <c r="AP21" s="46">
        <f>AP19*AP20</f>
        <v/>
      </c>
      <c r="AQ21" s="46">
        <f>AQ19*AQ20</f>
        <v/>
      </c>
      <c r="AR21" s="46">
        <f>AR19*AR20</f>
        <v/>
      </c>
      <c r="AS21" s="46">
        <f>AS19*AS20</f>
        <v/>
      </c>
      <c r="AT21" s="46">
        <f>AT19*AT20</f>
        <v/>
      </c>
      <c r="AU21" s="46">
        <f>AU19*AU20</f>
        <v/>
      </c>
      <c r="AV21" s="46">
        <f>AV19*AV20</f>
        <v/>
      </c>
      <c r="AW21" s="46">
        <f>AW19*AW20</f>
        <v/>
      </c>
      <c r="AX21" s="46">
        <f>AX19*AX20</f>
        <v/>
      </c>
      <c r="AY21" s="46">
        <f>AY19*AY20</f>
        <v/>
      </c>
      <c r="AZ21" s="46">
        <f>AZ19*AZ20</f>
        <v/>
      </c>
      <c r="BA21" s="46">
        <f>BA19*BA20</f>
        <v/>
      </c>
      <c r="BB21" s="46">
        <f>BB19*BB20</f>
        <v/>
      </c>
      <c r="BC21" s="46">
        <f>BC19*BC20</f>
        <v/>
      </c>
      <c r="BD21" s="46">
        <f>BD19*BD20</f>
        <v/>
      </c>
      <c r="BE21" s="46">
        <f>BE19*BE20</f>
        <v/>
      </c>
      <c r="BF21" s="46">
        <f>BF19*BF20</f>
        <v/>
      </c>
      <c r="BG21" s="46">
        <f>BG19*BG20</f>
        <v/>
      </c>
      <c r="BH21" s="46">
        <f>BH19*BH20</f>
        <v/>
      </c>
      <c r="BI21" s="46">
        <f>BI19*BI20</f>
        <v/>
      </c>
      <c r="BJ21" s="46">
        <f>BJ19*BJ20</f>
        <v/>
      </c>
      <c r="BK21" s="46">
        <f>BK19*BK20</f>
        <v/>
      </c>
      <c r="BM21" s="47">
        <f>O21</f>
        <v/>
      </c>
      <c r="BN21" s="47">
        <f>AA21</f>
        <v/>
      </c>
      <c r="BO21" s="47">
        <f>AM21</f>
        <v/>
      </c>
      <c r="BP21" s="47">
        <f>AY21</f>
        <v/>
      </c>
      <c r="BQ21" s="47">
        <f>BK21</f>
        <v/>
      </c>
    </row>
    <row r="22"/>
    <row r="23">
      <c r="B23" s="3" t="inlineStr">
        <is>
          <t>TOTAL ARR</t>
        </is>
      </c>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c r="BB23" s="4" t="n"/>
      <c r="BC23" s="4" t="n"/>
      <c r="BD23" s="4" t="n"/>
      <c r="BE23" s="4" t="n"/>
      <c r="BF23" s="4" t="n"/>
      <c r="BG23" s="4" t="n"/>
      <c r="BH23" s="4" t="n"/>
      <c r="BI23" s="4" t="n"/>
      <c r="BJ23" s="4" t="n"/>
      <c r="BK23" s="4" t="n"/>
      <c r="BL23" s="4" t="n"/>
      <c r="BM23" s="4" t="n"/>
      <c r="BN23" s="4" t="n"/>
      <c r="BO23" s="4" t="n"/>
      <c r="BP23" s="4" t="n"/>
      <c r="BQ23" s="4" t="n"/>
    </row>
    <row r="24">
      <c r="B24" s="18" t="inlineStr">
        <is>
          <t xml:space="preserve">    Self serve ARR</t>
        </is>
      </c>
      <c r="C24" s="19" t="inlineStr">
        <is>
          <t>$</t>
        </is>
      </c>
      <c r="D24" s="51">
        <f>'Rev-Capacity'!D21</f>
        <v/>
      </c>
      <c r="E24" s="51">
        <f>'Rev-Capacity'!E21</f>
        <v/>
      </c>
      <c r="F24" s="51">
        <f>'Rev-Capacity'!F21</f>
        <v/>
      </c>
      <c r="G24" s="51">
        <f>'Rev-Capacity'!G21</f>
        <v/>
      </c>
      <c r="H24" s="51">
        <f>'Rev-Capacity'!H21</f>
        <v/>
      </c>
      <c r="I24" s="51">
        <f>'Rev-Capacity'!I21</f>
        <v/>
      </c>
      <c r="J24" s="51">
        <f>'Rev-Capacity'!J21</f>
        <v/>
      </c>
      <c r="K24" s="51">
        <f>'Rev-Capacity'!K21</f>
        <v/>
      </c>
      <c r="L24" s="51">
        <f>'Rev-Capacity'!L21</f>
        <v/>
      </c>
      <c r="M24" s="51">
        <f>'Rev-Capacity'!M21</f>
        <v/>
      </c>
      <c r="N24" s="51">
        <f>'Rev-Capacity'!N21</f>
        <v/>
      </c>
      <c r="O24" s="51">
        <f>'Rev-Capacity'!O21</f>
        <v/>
      </c>
      <c r="P24" s="51">
        <f>'Rev-Capacity'!P21</f>
        <v/>
      </c>
      <c r="Q24" s="51">
        <f>'Rev-Capacity'!Q21</f>
        <v/>
      </c>
      <c r="R24" s="51">
        <f>'Rev-Capacity'!R21</f>
        <v/>
      </c>
      <c r="S24" s="51">
        <f>'Rev-Capacity'!S21</f>
        <v/>
      </c>
      <c r="T24" s="51">
        <f>'Rev-Capacity'!T21</f>
        <v/>
      </c>
      <c r="U24" s="51">
        <f>'Rev-Capacity'!U21</f>
        <v/>
      </c>
      <c r="V24" s="51">
        <f>'Rev-Capacity'!V21</f>
        <v/>
      </c>
      <c r="W24" s="51">
        <f>'Rev-Capacity'!W21</f>
        <v/>
      </c>
      <c r="X24" s="51">
        <f>'Rev-Capacity'!X21</f>
        <v/>
      </c>
      <c r="Y24" s="51">
        <f>'Rev-Capacity'!Y21</f>
        <v/>
      </c>
      <c r="Z24" s="51">
        <f>'Rev-Capacity'!Z21</f>
        <v/>
      </c>
      <c r="AA24" s="51">
        <f>'Rev-Capacity'!AA21</f>
        <v/>
      </c>
      <c r="AB24" s="51">
        <f>'Rev-Capacity'!AB21</f>
        <v/>
      </c>
      <c r="AC24" s="51">
        <f>'Rev-Capacity'!AC21</f>
        <v/>
      </c>
      <c r="AD24" s="51">
        <f>'Rev-Capacity'!AD21</f>
        <v/>
      </c>
      <c r="AE24" s="51">
        <f>'Rev-Capacity'!AE21</f>
        <v/>
      </c>
      <c r="AF24" s="51">
        <f>'Rev-Capacity'!AF21</f>
        <v/>
      </c>
      <c r="AG24" s="51">
        <f>'Rev-Capacity'!AG21</f>
        <v/>
      </c>
      <c r="AH24" s="51">
        <f>'Rev-Capacity'!AH21</f>
        <v/>
      </c>
      <c r="AI24" s="51">
        <f>'Rev-Capacity'!AI21</f>
        <v/>
      </c>
      <c r="AJ24" s="51">
        <f>'Rev-Capacity'!AJ21</f>
        <v/>
      </c>
      <c r="AK24" s="51">
        <f>'Rev-Capacity'!AK21</f>
        <v/>
      </c>
      <c r="AL24" s="51">
        <f>'Rev-Capacity'!AL21</f>
        <v/>
      </c>
      <c r="AM24" s="51">
        <f>'Rev-Capacity'!AM21</f>
        <v/>
      </c>
      <c r="AN24" s="51">
        <f>'Rev-Capacity'!AN21</f>
        <v/>
      </c>
      <c r="AO24" s="51">
        <f>'Rev-Capacity'!AO21</f>
        <v/>
      </c>
      <c r="AP24" s="51">
        <f>'Rev-Capacity'!AP21</f>
        <v/>
      </c>
      <c r="AQ24" s="51">
        <f>'Rev-Capacity'!AQ21</f>
        <v/>
      </c>
      <c r="AR24" s="51">
        <f>'Rev-Capacity'!AR21</f>
        <v/>
      </c>
      <c r="AS24" s="51">
        <f>'Rev-Capacity'!AS21</f>
        <v/>
      </c>
      <c r="AT24" s="51">
        <f>'Rev-Capacity'!AT21</f>
        <v/>
      </c>
      <c r="AU24" s="51">
        <f>'Rev-Capacity'!AU21</f>
        <v/>
      </c>
      <c r="AV24" s="51">
        <f>'Rev-Capacity'!AV21</f>
        <v/>
      </c>
      <c r="AW24" s="51">
        <f>'Rev-Capacity'!AW21</f>
        <v/>
      </c>
      <c r="AX24" s="51">
        <f>'Rev-Capacity'!AX21</f>
        <v/>
      </c>
      <c r="AY24" s="51">
        <f>'Rev-Capacity'!AY21</f>
        <v/>
      </c>
      <c r="AZ24" s="51">
        <f>'Rev-Capacity'!AZ21</f>
        <v/>
      </c>
      <c r="BA24" s="51">
        <f>'Rev-Capacity'!BA21</f>
        <v/>
      </c>
      <c r="BB24" s="51">
        <f>'Rev-Capacity'!BB21</f>
        <v/>
      </c>
      <c r="BC24" s="51">
        <f>'Rev-Capacity'!BC21</f>
        <v/>
      </c>
      <c r="BD24" s="51">
        <f>'Rev-Capacity'!BD21</f>
        <v/>
      </c>
      <c r="BE24" s="51">
        <f>'Rev-Capacity'!BE21</f>
        <v/>
      </c>
      <c r="BF24" s="51">
        <f>'Rev-Capacity'!BF21</f>
        <v/>
      </c>
      <c r="BG24" s="51">
        <f>'Rev-Capacity'!BG21</f>
        <v/>
      </c>
      <c r="BH24" s="51">
        <f>'Rev-Capacity'!BH21</f>
        <v/>
      </c>
      <c r="BI24" s="51">
        <f>'Rev-Capacity'!BI21</f>
        <v/>
      </c>
      <c r="BJ24" s="51">
        <f>'Rev-Capacity'!BJ21</f>
        <v/>
      </c>
      <c r="BK24" s="51">
        <f>'Rev-Capacity'!BK21</f>
        <v/>
      </c>
      <c r="BM24" s="47">
        <f>O24</f>
        <v/>
      </c>
      <c r="BN24" s="47">
        <f>AA24</f>
        <v/>
      </c>
      <c r="BO24" s="47">
        <f>AM24</f>
        <v/>
      </c>
      <c r="BP24" s="47">
        <f>AY24</f>
        <v/>
      </c>
      <c r="BQ24" s="47">
        <f>BK24</f>
        <v/>
      </c>
    </row>
    <row r="25">
      <c r="B25" s="18" t="inlineStr">
        <is>
          <t xml:space="preserve">    Core ARR, enterprise plus self serve</t>
        </is>
      </c>
      <c r="C25" s="19" t="inlineStr">
        <is>
          <t>$</t>
        </is>
      </c>
      <c r="D25" s="48">
        <f>D14+D24</f>
        <v/>
      </c>
      <c r="E25" s="48">
        <f>E14+E24</f>
        <v/>
      </c>
      <c r="F25" s="48">
        <f>F14+F24</f>
        <v/>
      </c>
      <c r="G25" s="48">
        <f>G14+G24</f>
        <v/>
      </c>
      <c r="H25" s="48">
        <f>H14+H24</f>
        <v/>
      </c>
      <c r="I25" s="48">
        <f>I14+I24</f>
        <v/>
      </c>
      <c r="J25" s="48">
        <f>J14+J24</f>
        <v/>
      </c>
      <c r="K25" s="48">
        <f>K14+K24</f>
        <v/>
      </c>
      <c r="L25" s="48">
        <f>L14+L24</f>
        <v/>
      </c>
      <c r="M25" s="48">
        <f>M14+M24</f>
        <v/>
      </c>
      <c r="N25" s="48">
        <f>N14+N24</f>
        <v/>
      </c>
      <c r="O25" s="48">
        <f>O14+O24</f>
        <v/>
      </c>
      <c r="P25" s="48">
        <f>P14+P24</f>
        <v/>
      </c>
      <c r="Q25" s="48">
        <f>Q14+Q24</f>
        <v/>
      </c>
      <c r="R25" s="48">
        <f>R14+R24</f>
        <v/>
      </c>
      <c r="S25" s="48">
        <f>S14+S24</f>
        <v/>
      </c>
      <c r="T25" s="48">
        <f>T14+T24</f>
        <v/>
      </c>
      <c r="U25" s="48">
        <f>U14+U24</f>
        <v/>
      </c>
      <c r="V25" s="48">
        <f>V14+V24</f>
        <v/>
      </c>
      <c r="W25" s="48">
        <f>W14+W24</f>
        <v/>
      </c>
      <c r="X25" s="48">
        <f>X14+X24</f>
        <v/>
      </c>
      <c r="Y25" s="48">
        <f>Y14+Y24</f>
        <v/>
      </c>
      <c r="Z25" s="48">
        <f>Z14+Z24</f>
        <v/>
      </c>
      <c r="AA25" s="48">
        <f>AA14+AA24</f>
        <v/>
      </c>
      <c r="AB25" s="48">
        <f>AB14+AB24</f>
        <v/>
      </c>
      <c r="AC25" s="48">
        <f>AC14+AC24</f>
        <v/>
      </c>
      <c r="AD25" s="48">
        <f>AD14+AD24</f>
        <v/>
      </c>
      <c r="AE25" s="48">
        <f>AE14+AE24</f>
        <v/>
      </c>
      <c r="AF25" s="48">
        <f>AF14+AF24</f>
        <v/>
      </c>
      <c r="AG25" s="48">
        <f>AG14+AG24</f>
        <v/>
      </c>
      <c r="AH25" s="48">
        <f>AH14+AH24</f>
        <v/>
      </c>
      <c r="AI25" s="48">
        <f>AI14+AI24</f>
        <v/>
      </c>
      <c r="AJ25" s="48">
        <f>AJ14+AJ24</f>
        <v/>
      </c>
      <c r="AK25" s="48">
        <f>AK14+AK24</f>
        <v/>
      </c>
      <c r="AL25" s="48">
        <f>AL14+AL24</f>
        <v/>
      </c>
      <c r="AM25" s="48">
        <f>AM14+AM24</f>
        <v/>
      </c>
      <c r="AN25" s="48">
        <f>AN14+AN24</f>
        <v/>
      </c>
      <c r="AO25" s="48">
        <f>AO14+AO24</f>
        <v/>
      </c>
      <c r="AP25" s="48">
        <f>AP14+AP24</f>
        <v/>
      </c>
      <c r="AQ25" s="48">
        <f>AQ14+AQ24</f>
        <v/>
      </c>
      <c r="AR25" s="48">
        <f>AR14+AR24</f>
        <v/>
      </c>
      <c r="AS25" s="48">
        <f>AS14+AS24</f>
        <v/>
      </c>
      <c r="AT25" s="48">
        <f>AT14+AT24</f>
        <v/>
      </c>
      <c r="AU25" s="48">
        <f>AU14+AU24</f>
        <v/>
      </c>
      <c r="AV25" s="48">
        <f>AV14+AV24</f>
        <v/>
      </c>
      <c r="AW25" s="48">
        <f>AW14+AW24</f>
        <v/>
      </c>
      <c r="AX25" s="48">
        <f>AX14+AX24</f>
        <v/>
      </c>
      <c r="AY25" s="48">
        <f>AY14+AY24</f>
        <v/>
      </c>
      <c r="AZ25" s="48">
        <f>AZ14+AZ24</f>
        <v/>
      </c>
      <c r="BA25" s="48">
        <f>BA14+BA24</f>
        <v/>
      </c>
      <c r="BB25" s="48">
        <f>BB14+BB24</f>
        <v/>
      </c>
      <c r="BC25" s="48">
        <f>BC14+BC24</f>
        <v/>
      </c>
      <c r="BD25" s="48">
        <f>BD14+BD24</f>
        <v/>
      </c>
      <c r="BE25" s="48">
        <f>BE14+BE24</f>
        <v/>
      </c>
      <c r="BF25" s="48">
        <f>BF14+BF24</f>
        <v/>
      </c>
      <c r="BG25" s="48">
        <f>BG14+BG24</f>
        <v/>
      </c>
      <c r="BH25" s="48">
        <f>BH14+BH24</f>
        <v/>
      </c>
      <c r="BI25" s="48">
        <f>BI14+BI24</f>
        <v/>
      </c>
      <c r="BJ25" s="48">
        <f>BJ14+BJ24</f>
        <v/>
      </c>
      <c r="BK25" s="48">
        <f>BK14+BK24</f>
        <v/>
      </c>
      <c r="BM25" s="47">
        <f>O25</f>
        <v/>
      </c>
      <c r="BN25" s="47">
        <f>AA25</f>
        <v/>
      </c>
      <c r="BO25" s="47">
        <f>AM25</f>
        <v/>
      </c>
      <c r="BP25" s="47">
        <f>AY25</f>
        <v/>
      </c>
      <c r="BQ25" s="47">
        <f>BK25</f>
        <v/>
      </c>
    </row>
    <row r="26">
      <c r="B26" s="29" t="inlineStr">
        <is>
          <t xml:space="preserve">    Total ARR</t>
        </is>
      </c>
      <c r="C26" s="19" t="inlineStr">
        <is>
          <t>$</t>
        </is>
      </c>
      <c r="D26" s="46">
        <f>D25+D21</f>
        <v/>
      </c>
      <c r="E26" s="46">
        <f>E25+E21</f>
        <v/>
      </c>
      <c r="F26" s="46">
        <f>F25+F21</f>
        <v/>
      </c>
      <c r="G26" s="46">
        <f>G25+G21</f>
        <v/>
      </c>
      <c r="H26" s="46">
        <f>H25+H21</f>
        <v/>
      </c>
      <c r="I26" s="46">
        <f>I25+I21</f>
        <v/>
      </c>
      <c r="J26" s="46">
        <f>J25+J21</f>
        <v/>
      </c>
      <c r="K26" s="46">
        <f>K25+K21</f>
        <v/>
      </c>
      <c r="L26" s="46">
        <f>L25+L21</f>
        <v/>
      </c>
      <c r="M26" s="46">
        <f>M25+M21</f>
        <v/>
      </c>
      <c r="N26" s="46">
        <f>N25+N21</f>
        <v/>
      </c>
      <c r="O26" s="46">
        <f>O25+O21</f>
        <v/>
      </c>
      <c r="P26" s="46">
        <f>P25+P21</f>
        <v/>
      </c>
      <c r="Q26" s="46">
        <f>Q25+Q21</f>
        <v/>
      </c>
      <c r="R26" s="46">
        <f>R25+R21</f>
        <v/>
      </c>
      <c r="S26" s="46">
        <f>S25+S21</f>
        <v/>
      </c>
      <c r="T26" s="46">
        <f>T25+T21</f>
        <v/>
      </c>
      <c r="U26" s="46">
        <f>U25+U21</f>
        <v/>
      </c>
      <c r="V26" s="46">
        <f>V25+V21</f>
        <v/>
      </c>
      <c r="W26" s="46">
        <f>W25+W21</f>
        <v/>
      </c>
      <c r="X26" s="46">
        <f>X25+X21</f>
        <v/>
      </c>
      <c r="Y26" s="46">
        <f>Y25+Y21</f>
        <v/>
      </c>
      <c r="Z26" s="46">
        <f>Z25+Z21</f>
        <v/>
      </c>
      <c r="AA26" s="46">
        <f>AA25+AA21</f>
        <v/>
      </c>
      <c r="AB26" s="46">
        <f>AB25+AB21</f>
        <v/>
      </c>
      <c r="AC26" s="46">
        <f>AC25+AC21</f>
        <v/>
      </c>
      <c r="AD26" s="46">
        <f>AD25+AD21</f>
        <v/>
      </c>
      <c r="AE26" s="46">
        <f>AE25+AE21</f>
        <v/>
      </c>
      <c r="AF26" s="46">
        <f>AF25+AF21</f>
        <v/>
      </c>
      <c r="AG26" s="46">
        <f>AG25+AG21</f>
        <v/>
      </c>
      <c r="AH26" s="46">
        <f>AH25+AH21</f>
        <v/>
      </c>
      <c r="AI26" s="46">
        <f>AI25+AI21</f>
        <v/>
      </c>
      <c r="AJ26" s="46">
        <f>AJ25+AJ21</f>
        <v/>
      </c>
      <c r="AK26" s="46">
        <f>AK25+AK21</f>
        <v/>
      </c>
      <c r="AL26" s="46">
        <f>AL25+AL21</f>
        <v/>
      </c>
      <c r="AM26" s="46">
        <f>AM25+AM21</f>
        <v/>
      </c>
      <c r="AN26" s="46">
        <f>AN25+AN21</f>
        <v/>
      </c>
      <c r="AO26" s="46">
        <f>AO25+AO21</f>
        <v/>
      </c>
      <c r="AP26" s="46">
        <f>AP25+AP21</f>
        <v/>
      </c>
      <c r="AQ26" s="46">
        <f>AQ25+AQ21</f>
        <v/>
      </c>
      <c r="AR26" s="46">
        <f>AR25+AR21</f>
        <v/>
      </c>
      <c r="AS26" s="46">
        <f>AS25+AS21</f>
        <v/>
      </c>
      <c r="AT26" s="46">
        <f>AT25+AT21</f>
        <v/>
      </c>
      <c r="AU26" s="46">
        <f>AU25+AU21</f>
        <v/>
      </c>
      <c r="AV26" s="46">
        <f>AV25+AV21</f>
        <v/>
      </c>
      <c r="AW26" s="46">
        <f>AW25+AW21</f>
        <v/>
      </c>
      <c r="AX26" s="46">
        <f>AX25+AX21</f>
        <v/>
      </c>
      <c r="AY26" s="46">
        <f>AY25+AY21</f>
        <v/>
      </c>
      <c r="AZ26" s="46">
        <f>AZ25+AZ21</f>
        <v/>
      </c>
      <c r="BA26" s="46">
        <f>BA25+BA21</f>
        <v/>
      </c>
      <c r="BB26" s="46">
        <f>BB25+BB21</f>
        <v/>
      </c>
      <c r="BC26" s="46">
        <f>BC25+BC21</f>
        <v/>
      </c>
      <c r="BD26" s="46">
        <f>BD25+BD21</f>
        <v/>
      </c>
      <c r="BE26" s="46">
        <f>BE25+BE21</f>
        <v/>
      </c>
      <c r="BF26" s="46">
        <f>BF25+BF21</f>
        <v/>
      </c>
      <c r="BG26" s="46">
        <f>BG25+BG21</f>
        <v/>
      </c>
      <c r="BH26" s="46">
        <f>BH25+BH21</f>
        <v/>
      </c>
      <c r="BI26" s="46">
        <f>BI25+BI21</f>
        <v/>
      </c>
      <c r="BJ26" s="46">
        <f>BJ25+BJ21</f>
        <v/>
      </c>
      <c r="BK26" s="46">
        <f>BK25+BK21</f>
        <v/>
      </c>
      <c r="BM26" s="47">
        <f>O26</f>
        <v/>
      </c>
      <c r="BN26" s="47">
        <f>AA26</f>
        <v/>
      </c>
      <c r="BO26" s="47">
        <f>AM26</f>
        <v/>
      </c>
      <c r="BP26" s="47">
        <f>AY26</f>
        <v/>
      </c>
      <c r="BQ26" s="47">
        <f>BK26</f>
        <v/>
      </c>
    </row>
    <row r="27">
      <c r="B27" s="18" t="inlineStr">
        <is>
          <t xml:space="preserve">    Year on year ARR growth</t>
        </is>
      </c>
      <c r="C27" s="19" t="inlineStr">
        <is>
          <t>%</t>
        </is>
      </c>
      <c r="D27" s="53">
        <f>D26/Inputs!$D$9-1</f>
        <v/>
      </c>
      <c r="E27" s="53">
        <f>E26/Inputs!$D$9-1</f>
        <v/>
      </c>
      <c r="F27" s="53">
        <f>F26/Inputs!$D$9-1</f>
        <v/>
      </c>
      <c r="G27" s="53">
        <f>G26/Inputs!$D$9-1</f>
        <v/>
      </c>
      <c r="H27" s="53">
        <f>H26/Inputs!$D$9-1</f>
        <v/>
      </c>
      <c r="I27" s="53">
        <f>I26/Inputs!$D$9-1</f>
        <v/>
      </c>
      <c r="J27" s="53">
        <f>J26/Inputs!$D$9-1</f>
        <v/>
      </c>
      <c r="K27" s="53">
        <f>K26/Inputs!$D$9-1</f>
        <v/>
      </c>
      <c r="L27" s="53">
        <f>L26/Inputs!$D$9-1</f>
        <v/>
      </c>
      <c r="M27" s="53">
        <f>M26/Inputs!$D$9-1</f>
        <v/>
      </c>
      <c r="N27" s="53">
        <f>N26/Inputs!$D$9-1</f>
        <v/>
      </c>
      <c r="O27" s="53">
        <f>O26/Inputs!$D$9-1</f>
        <v/>
      </c>
      <c r="P27" s="53">
        <f>P26/D26-1</f>
        <v/>
      </c>
      <c r="Q27" s="53">
        <f>Q26/E26-1</f>
        <v/>
      </c>
      <c r="R27" s="53">
        <f>R26/F26-1</f>
        <v/>
      </c>
      <c r="S27" s="53">
        <f>S26/G26-1</f>
        <v/>
      </c>
      <c r="T27" s="53">
        <f>T26/H26-1</f>
        <v/>
      </c>
      <c r="U27" s="53">
        <f>U26/I26-1</f>
        <v/>
      </c>
      <c r="V27" s="53">
        <f>V26/J26-1</f>
        <v/>
      </c>
      <c r="W27" s="53">
        <f>W26/K26-1</f>
        <v/>
      </c>
      <c r="X27" s="53">
        <f>X26/L26-1</f>
        <v/>
      </c>
      <c r="Y27" s="53">
        <f>Y26/M26-1</f>
        <v/>
      </c>
      <c r="Z27" s="53">
        <f>Z26/N26-1</f>
        <v/>
      </c>
      <c r="AA27" s="53">
        <f>AA26/O26-1</f>
        <v/>
      </c>
      <c r="AB27" s="53">
        <f>AB26/P26-1</f>
        <v/>
      </c>
      <c r="AC27" s="53">
        <f>AC26/Q26-1</f>
        <v/>
      </c>
      <c r="AD27" s="53">
        <f>AD26/R26-1</f>
        <v/>
      </c>
      <c r="AE27" s="53">
        <f>AE26/S26-1</f>
        <v/>
      </c>
      <c r="AF27" s="53">
        <f>AF26/T26-1</f>
        <v/>
      </c>
      <c r="AG27" s="53">
        <f>AG26/U26-1</f>
        <v/>
      </c>
      <c r="AH27" s="53">
        <f>AH26/V26-1</f>
        <v/>
      </c>
      <c r="AI27" s="53">
        <f>AI26/W26-1</f>
        <v/>
      </c>
      <c r="AJ27" s="53">
        <f>AJ26/X26-1</f>
        <v/>
      </c>
      <c r="AK27" s="53">
        <f>AK26/Y26-1</f>
        <v/>
      </c>
      <c r="AL27" s="53">
        <f>AL26/Z26-1</f>
        <v/>
      </c>
      <c r="AM27" s="53">
        <f>AM26/AA26-1</f>
        <v/>
      </c>
      <c r="AN27" s="53">
        <f>AN26/AB26-1</f>
        <v/>
      </c>
      <c r="AO27" s="53">
        <f>AO26/AC26-1</f>
        <v/>
      </c>
      <c r="AP27" s="53">
        <f>AP26/AD26-1</f>
        <v/>
      </c>
      <c r="AQ27" s="53">
        <f>AQ26/AE26-1</f>
        <v/>
      </c>
      <c r="AR27" s="53">
        <f>AR26/AF26-1</f>
        <v/>
      </c>
      <c r="AS27" s="53">
        <f>AS26/AG26-1</f>
        <v/>
      </c>
      <c r="AT27" s="53">
        <f>AT26/AH26-1</f>
        <v/>
      </c>
      <c r="AU27" s="53">
        <f>AU26/AI26-1</f>
        <v/>
      </c>
      <c r="AV27" s="53">
        <f>AV26/AJ26-1</f>
        <v/>
      </c>
      <c r="AW27" s="53">
        <f>AW26/AK26-1</f>
        <v/>
      </c>
      <c r="AX27" s="53">
        <f>AX26/AL26-1</f>
        <v/>
      </c>
      <c r="AY27" s="53">
        <f>AY26/AM26-1</f>
        <v/>
      </c>
      <c r="AZ27" s="53">
        <f>AZ26/AN26-1</f>
        <v/>
      </c>
      <c r="BA27" s="53">
        <f>BA26/AO26-1</f>
        <v/>
      </c>
      <c r="BB27" s="53">
        <f>BB26/AP26-1</f>
        <v/>
      </c>
      <c r="BC27" s="53">
        <f>BC26/AQ26-1</f>
        <v/>
      </c>
      <c r="BD27" s="53">
        <f>BD26/AR26-1</f>
        <v/>
      </c>
      <c r="BE27" s="53">
        <f>BE26/AS26-1</f>
        <v/>
      </c>
      <c r="BF27" s="53">
        <f>BF26/AT26-1</f>
        <v/>
      </c>
      <c r="BG27" s="53">
        <f>BG26/AU26-1</f>
        <v/>
      </c>
      <c r="BH27" s="53">
        <f>BH26/AV26-1</f>
        <v/>
      </c>
      <c r="BI27" s="53">
        <f>BI26/AW26-1</f>
        <v/>
      </c>
      <c r="BJ27" s="53">
        <f>BJ26/AX26-1</f>
        <v/>
      </c>
      <c r="BK27" s="53">
        <f>BK26/AY26-1</f>
        <v/>
      </c>
      <c r="BM27" s="54">
        <f>O27</f>
        <v/>
      </c>
      <c r="BN27" s="54">
        <f>AA27</f>
        <v/>
      </c>
      <c r="BO27" s="54">
        <f>AM27</f>
        <v/>
      </c>
      <c r="BP27" s="54">
        <f>AY27</f>
        <v/>
      </c>
      <c r="BQ27" s="54">
        <f>BK27</f>
        <v/>
      </c>
    </row>
  </sheetData>
  <pageMargins left="0.75" right="0.75" top="1" bottom="1" header="0.5" footer="0.5"/>
</worksheet>
</file>

<file path=xl/worksheets/sheet6.xml><?xml version="1.0" encoding="utf-8"?>
<worksheet xmlns="http://schemas.openxmlformats.org/spreadsheetml/2006/main">
  <sheetPr>
    <tabColor rgb="FF2E7D32"/>
    <outlinePr summaryBelow="1" summaryRight="1"/>
    <pageSetUpPr/>
  </sheetPr>
  <dimension ref="A1:BQ31"/>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Headcount and Compensation</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ROSTER BY FUNCTION</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18" t="inlineStr">
        <is>
          <t xml:space="preserve">    R&amp;D hires per month</t>
        </is>
      </c>
      <c r="C10" s="19" t="inlineStr">
        <is>
          <t>#</t>
        </is>
      </c>
      <c r="D10" s="42">
        <f>INDEX(Inputs!$D$166:$H$166,1,D$6-2025)</f>
        <v/>
      </c>
      <c r="E10" s="42">
        <f>INDEX(Inputs!$D$166:$H$166,1,E$6-2025)</f>
        <v/>
      </c>
      <c r="F10" s="42">
        <f>INDEX(Inputs!$D$166:$H$166,1,F$6-2025)</f>
        <v/>
      </c>
      <c r="G10" s="42">
        <f>INDEX(Inputs!$D$166:$H$166,1,G$6-2025)</f>
        <v/>
      </c>
      <c r="H10" s="42">
        <f>INDEX(Inputs!$D$166:$H$166,1,H$6-2025)</f>
        <v/>
      </c>
      <c r="I10" s="42">
        <f>INDEX(Inputs!$D$166:$H$166,1,I$6-2025)</f>
        <v/>
      </c>
      <c r="J10" s="42">
        <f>INDEX(Inputs!$D$166:$H$166,1,J$6-2025)</f>
        <v/>
      </c>
      <c r="K10" s="42">
        <f>INDEX(Inputs!$D$166:$H$166,1,K$6-2025)</f>
        <v/>
      </c>
      <c r="L10" s="42">
        <f>INDEX(Inputs!$D$166:$H$166,1,L$6-2025)</f>
        <v/>
      </c>
      <c r="M10" s="42">
        <f>INDEX(Inputs!$D$166:$H$166,1,M$6-2025)</f>
        <v/>
      </c>
      <c r="N10" s="42">
        <f>INDEX(Inputs!$D$166:$H$166,1,N$6-2025)</f>
        <v/>
      </c>
      <c r="O10" s="42">
        <f>INDEX(Inputs!$D$166:$H$166,1,O$6-2025)</f>
        <v/>
      </c>
      <c r="P10" s="42">
        <f>INDEX(Inputs!$D$166:$H$166,1,P$6-2025)</f>
        <v/>
      </c>
      <c r="Q10" s="42">
        <f>INDEX(Inputs!$D$166:$H$166,1,Q$6-2025)</f>
        <v/>
      </c>
      <c r="R10" s="42">
        <f>INDEX(Inputs!$D$166:$H$166,1,R$6-2025)</f>
        <v/>
      </c>
      <c r="S10" s="42">
        <f>INDEX(Inputs!$D$166:$H$166,1,S$6-2025)</f>
        <v/>
      </c>
      <c r="T10" s="42">
        <f>INDEX(Inputs!$D$166:$H$166,1,T$6-2025)</f>
        <v/>
      </c>
      <c r="U10" s="42">
        <f>INDEX(Inputs!$D$166:$H$166,1,U$6-2025)</f>
        <v/>
      </c>
      <c r="V10" s="42">
        <f>INDEX(Inputs!$D$166:$H$166,1,V$6-2025)</f>
        <v/>
      </c>
      <c r="W10" s="42">
        <f>INDEX(Inputs!$D$166:$H$166,1,W$6-2025)</f>
        <v/>
      </c>
      <c r="X10" s="42">
        <f>INDEX(Inputs!$D$166:$H$166,1,X$6-2025)</f>
        <v/>
      </c>
      <c r="Y10" s="42">
        <f>INDEX(Inputs!$D$166:$H$166,1,Y$6-2025)</f>
        <v/>
      </c>
      <c r="Z10" s="42">
        <f>INDEX(Inputs!$D$166:$H$166,1,Z$6-2025)</f>
        <v/>
      </c>
      <c r="AA10" s="42">
        <f>INDEX(Inputs!$D$166:$H$166,1,AA$6-2025)</f>
        <v/>
      </c>
      <c r="AB10" s="42">
        <f>INDEX(Inputs!$D$166:$H$166,1,AB$6-2025)</f>
        <v/>
      </c>
      <c r="AC10" s="42">
        <f>INDEX(Inputs!$D$166:$H$166,1,AC$6-2025)</f>
        <v/>
      </c>
      <c r="AD10" s="42">
        <f>INDEX(Inputs!$D$166:$H$166,1,AD$6-2025)</f>
        <v/>
      </c>
      <c r="AE10" s="42">
        <f>INDEX(Inputs!$D$166:$H$166,1,AE$6-2025)</f>
        <v/>
      </c>
      <c r="AF10" s="42">
        <f>INDEX(Inputs!$D$166:$H$166,1,AF$6-2025)</f>
        <v/>
      </c>
      <c r="AG10" s="42">
        <f>INDEX(Inputs!$D$166:$H$166,1,AG$6-2025)</f>
        <v/>
      </c>
      <c r="AH10" s="42">
        <f>INDEX(Inputs!$D$166:$H$166,1,AH$6-2025)</f>
        <v/>
      </c>
      <c r="AI10" s="42">
        <f>INDEX(Inputs!$D$166:$H$166,1,AI$6-2025)</f>
        <v/>
      </c>
      <c r="AJ10" s="42">
        <f>INDEX(Inputs!$D$166:$H$166,1,AJ$6-2025)</f>
        <v/>
      </c>
      <c r="AK10" s="42">
        <f>INDEX(Inputs!$D$166:$H$166,1,AK$6-2025)</f>
        <v/>
      </c>
      <c r="AL10" s="42">
        <f>INDEX(Inputs!$D$166:$H$166,1,AL$6-2025)</f>
        <v/>
      </c>
      <c r="AM10" s="42">
        <f>INDEX(Inputs!$D$166:$H$166,1,AM$6-2025)</f>
        <v/>
      </c>
      <c r="AN10" s="42">
        <f>INDEX(Inputs!$D$166:$H$166,1,AN$6-2025)</f>
        <v/>
      </c>
      <c r="AO10" s="42">
        <f>INDEX(Inputs!$D$166:$H$166,1,AO$6-2025)</f>
        <v/>
      </c>
      <c r="AP10" s="42">
        <f>INDEX(Inputs!$D$166:$H$166,1,AP$6-2025)</f>
        <v/>
      </c>
      <c r="AQ10" s="42">
        <f>INDEX(Inputs!$D$166:$H$166,1,AQ$6-2025)</f>
        <v/>
      </c>
      <c r="AR10" s="42">
        <f>INDEX(Inputs!$D$166:$H$166,1,AR$6-2025)</f>
        <v/>
      </c>
      <c r="AS10" s="42">
        <f>INDEX(Inputs!$D$166:$H$166,1,AS$6-2025)</f>
        <v/>
      </c>
      <c r="AT10" s="42">
        <f>INDEX(Inputs!$D$166:$H$166,1,AT$6-2025)</f>
        <v/>
      </c>
      <c r="AU10" s="42">
        <f>INDEX(Inputs!$D$166:$H$166,1,AU$6-2025)</f>
        <v/>
      </c>
      <c r="AV10" s="42">
        <f>INDEX(Inputs!$D$166:$H$166,1,AV$6-2025)</f>
        <v/>
      </c>
      <c r="AW10" s="42">
        <f>INDEX(Inputs!$D$166:$H$166,1,AW$6-2025)</f>
        <v/>
      </c>
      <c r="AX10" s="42">
        <f>INDEX(Inputs!$D$166:$H$166,1,AX$6-2025)</f>
        <v/>
      </c>
      <c r="AY10" s="42">
        <f>INDEX(Inputs!$D$166:$H$166,1,AY$6-2025)</f>
        <v/>
      </c>
      <c r="AZ10" s="42">
        <f>INDEX(Inputs!$D$166:$H$166,1,AZ$6-2025)</f>
        <v/>
      </c>
      <c r="BA10" s="42">
        <f>INDEX(Inputs!$D$166:$H$166,1,BA$6-2025)</f>
        <v/>
      </c>
      <c r="BB10" s="42">
        <f>INDEX(Inputs!$D$166:$H$166,1,BB$6-2025)</f>
        <v/>
      </c>
      <c r="BC10" s="42">
        <f>INDEX(Inputs!$D$166:$H$166,1,BC$6-2025)</f>
        <v/>
      </c>
      <c r="BD10" s="42">
        <f>INDEX(Inputs!$D$166:$H$166,1,BD$6-2025)</f>
        <v/>
      </c>
      <c r="BE10" s="42">
        <f>INDEX(Inputs!$D$166:$H$166,1,BE$6-2025)</f>
        <v/>
      </c>
      <c r="BF10" s="42">
        <f>INDEX(Inputs!$D$166:$H$166,1,BF$6-2025)</f>
        <v/>
      </c>
      <c r="BG10" s="42">
        <f>INDEX(Inputs!$D$166:$H$166,1,BG$6-2025)</f>
        <v/>
      </c>
      <c r="BH10" s="42">
        <f>INDEX(Inputs!$D$166:$H$166,1,BH$6-2025)</f>
        <v/>
      </c>
      <c r="BI10" s="42">
        <f>INDEX(Inputs!$D$166:$H$166,1,BI$6-2025)</f>
        <v/>
      </c>
      <c r="BJ10" s="42">
        <f>INDEX(Inputs!$D$166:$H$166,1,BJ$6-2025)</f>
        <v/>
      </c>
      <c r="BK10" s="42">
        <f>INDEX(Inputs!$D$166:$H$166,1,BK$6-2025)</f>
        <v/>
      </c>
    </row>
    <row r="11">
      <c r="B11" s="18" t="inlineStr">
        <is>
          <t xml:space="preserve">    R&amp;D headcount</t>
        </is>
      </c>
      <c r="C11" s="19" t="inlineStr">
        <is>
          <t>#</t>
        </is>
      </c>
      <c r="D11" s="44">
        <f>Inputs!$D$128+D10</f>
        <v/>
      </c>
      <c r="E11" s="44">
        <f>D11+E10</f>
        <v/>
      </c>
      <c r="F11" s="44">
        <f>E11+F10</f>
        <v/>
      </c>
      <c r="G11" s="44">
        <f>F11+G10</f>
        <v/>
      </c>
      <c r="H11" s="44">
        <f>G11+H10</f>
        <v/>
      </c>
      <c r="I11" s="44">
        <f>H11+I10</f>
        <v/>
      </c>
      <c r="J11" s="44">
        <f>I11+J10</f>
        <v/>
      </c>
      <c r="K11" s="44">
        <f>J11+K10</f>
        <v/>
      </c>
      <c r="L11" s="44">
        <f>K11+L10</f>
        <v/>
      </c>
      <c r="M11" s="44">
        <f>L11+M10</f>
        <v/>
      </c>
      <c r="N11" s="44">
        <f>M11+N10</f>
        <v/>
      </c>
      <c r="O11" s="44">
        <f>N11+O10</f>
        <v/>
      </c>
      <c r="P11" s="44">
        <f>O11+P10</f>
        <v/>
      </c>
      <c r="Q11" s="44">
        <f>P11+Q10</f>
        <v/>
      </c>
      <c r="R11" s="44">
        <f>Q11+R10</f>
        <v/>
      </c>
      <c r="S11" s="44">
        <f>R11+S10</f>
        <v/>
      </c>
      <c r="T11" s="44">
        <f>S11+T10</f>
        <v/>
      </c>
      <c r="U11" s="44">
        <f>T11+U10</f>
        <v/>
      </c>
      <c r="V11" s="44">
        <f>U11+V10</f>
        <v/>
      </c>
      <c r="W11" s="44">
        <f>V11+W10</f>
        <v/>
      </c>
      <c r="X11" s="44">
        <f>W11+X10</f>
        <v/>
      </c>
      <c r="Y11" s="44">
        <f>X11+Y10</f>
        <v/>
      </c>
      <c r="Z11" s="44">
        <f>Y11+Z10</f>
        <v/>
      </c>
      <c r="AA11" s="44">
        <f>Z11+AA10</f>
        <v/>
      </c>
      <c r="AB11" s="44">
        <f>AA11+AB10</f>
        <v/>
      </c>
      <c r="AC11" s="44">
        <f>AB11+AC10</f>
        <v/>
      </c>
      <c r="AD11" s="44">
        <f>AC11+AD10</f>
        <v/>
      </c>
      <c r="AE11" s="44">
        <f>AD11+AE10</f>
        <v/>
      </c>
      <c r="AF11" s="44">
        <f>AE11+AF10</f>
        <v/>
      </c>
      <c r="AG11" s="44">
        <f>AF11+AG10</f>
        <v/>
      </c>
      <c r="AH11" s="44">
        <f>AG11+AH10</f>
        <v/>
      </c>
      <c r="AI11" s="44">
        <f>AH11+AI10</f>
        <v/>
      </c>
      <c r="AJ11" s="44">
        <f>AI11+AJ10</f>
        <v/>
      </c>
      <c r="AK11" s="44">
        <f>AJ11+AK10</f>
        <v/>
      </c>
      <c r="AL11" s="44">
        <f>AK11+AL10</f>
        <v/>
      </c>
      <c r="AM11" s="44">
        <f>AL11+AM10</f>
        <v/>
      </c>
      <c r="AN11" s="44">
        <f>AM11+AN10</f>
        <v/>
      </c>
      <c r="AO11" s="44">
        <f>AN11+AO10</f>
        <v/>
      </c>
      <c r="AP11" s="44">
        <f>AO11+AP10</f>
        <v/>
      </c>
      <c r="AQ11" s="44">
        <f>AP11+AQ10</f>
        <v/>
      </c>
      <c r="AR11" s="44">
        <f>AQ11+AR10</f>
        <v/>
      </c>
      <c r="AS11" s="44">
        <f>AR11+AS10</f>
        <v/>
      </c>
      <c r="AT11" s="44">
        <f>AS11+AT10</f>
        <v/>
      </c>
      <c r="AU11" s="44">
        <f>AT11+AU10</f>
        <v/>
      </c>
      <c r="AV11" s="44">
        <f>AU11+AV10</f>
        <v/>
      </c>
      <c r="AW11" s="44">
        <f>AV11+AW10</f>
        <v/>
      </c>
      <c r="AX11" s="44">
        <f>AW11+AX10</f>
        <v/>
      </c>
      <c r="AY11" s="44">
        <f>AX11+AY10</f>
        <v/>
      </c>
      <c r="AZ11" s="44">
        <f>AY11+AZ10</f>
        <v/>
      </c>
      <c r="BA11" s="44">
        <f>AZ11+BA10</f>
        <v/>
      </c>
      <c r="BB11" s="44">
        <f>BA11+BB10</f>
        <v/>
      </c>
      <c r="BC11" s="44">
        <f>BB11+BC10</f>
        <v/>
      </c>
      <c r="BD11" s="44">
        <f>BC11+BD10</f>
        <v/>
      </c>
      <c r="BE11" s="44">
        <f>BD11+BE10</f>
        <v/>
      </c>
      <c r="BF11" s="44">
        <f>BE11+BF10</f>
        <v/>
      </c>
      <c r="BG11" s="44">
        <f>BF11+BG10</f>
        <v/>
      </c>
      <c r="BH11" s="44">
        <f>BG11+BH10</f>
        <v/>
      </c>
      <c r="BI11" s="44">
        <f>BH11+BI10</f>
        <v/>
      </c>
      <c r="BJ11" s="44">
        <f>BI11+BJ10</f>
        <v/>
      </c>
      <c r="BK11" s="44">
        <f>BJ11+BK10</f>
        <v/>
      </c>
      <c r="BM11" s="43">
        <f>O11</f>
        <v/>
      </c>
      <c r="BN11" s="43">
        <f>AA11</f>
        <v/>
      </c>
      <c r="BO11" s="43">
        <f>AM11</f>
        <v/>
      </c>
      <c r="BP11" s="43">
        <f>AY11</f>
        <v/>
      </c>
      <c r="BQ11" s="43">
        <f>BK11</f>
        <v/>
      </c>
    </row>
    <row r="12">
      <c r="B12" s="18" t="inlineStr">
        <is>
          <t xml:space="preserve">    G&amp;A hires per month</t>
        </is>
      </c>
      <c r="C12" s="19" t="inlineStr">
        <is>
          <t>#</t>
        </is>
      </c>
      <c r="D12" s="42">
        <f>INDEX(Inputs!$D$158:$H$158,1,D$6-2025)</f>
        <v/>
      </c>
      <c r="E12" s="42">
        <f>INDEX(Inputs!$D$158:$H$158,1,E$6-2025)</f>
        <v/>
      </c>
      <c r="F12" s="42">
        <f>INDEX(Inputs!$D$158:$H$158,1,F$6-2025)</f>
        <v/>
      </c>
      <c r="G12" s="42">
        <f>INDEX(Inputs!$D$158:$H$158,1,G$6-2025)</f>
        <v/>
      </c>
      <c r="H12" s="42">
        <f>INDEX(Inputs!$D$158:$H$158,1,H$6-2025)</f>
        <v/>
      </c>
      <c r="I12" s="42">
        <f>INDEX(Inputs!$D$158:$H$158,1,I$6-2025)</f>
        <v/>
      </c>
      <c r="J12" s="42">
        <f>INDEX(Inputs!$D$158:$H$158,1,J$6-2025)</f>
        <v/>
      </c>
      <c r="K12" s="42">
        <f>INDEX(Inputs!$D$158:$H$158,1,K$6-2025)</f>
        <v/>
      </c>
      <c r="L12" s="42">
        <f>INDEX(Inputs!$D$158:$H$158,1,L$6-2025)</f>
        <v/>
      </c>
      <c r="M12" s="42">
        <f>INDEX(Inputs!$D$158:$H$158,1,M$6-2025)</f>
        <v/>
      </c>
      <c r="N12" s="42">
        <f>INDEX(Inputs!$D$158:$H$158,1,N$6-2025)</f>
        <v/>
      </c>
      <c r="O12" s="42">
        <f>INDEX(Inputs!$D$158:$H$158,1,O$6-2025)</f>
        <v/>
      </c>
      <c r="P12" s="42">
        <f>INDEX(Inputs!$D$158:$H$158,1,P$6-2025)</f>
        <v/>
      </c>
      <c r="Q12" s="42">
        <f>INDEX(Inputs!$D$158:$H$158,1,Q$6-2025)</f>
        <v/>
      </c>
      <c r="R12" s="42">
        <f>INDEX(Inputs!$D$158:$H$158,1,R$6-2025)</f>
        <v/>
      </c>
      <c r="S12" s="42">
        <f>INDEX(Inputs!$D$158:$H$158,1,S$6-2025)</f>
        <v/>
      </c>
      <c r="T12" s="42">
        <f>INDEX(Inputs!$D$158:$H$158,1,T$6-2025)</f>
        <v/>
      </c>
      <c r="U12" s="42">
        <f>INDEX(Inputs!$D$158:$H$158,1,U$6-2025)</f>
        <v/>
      </c>
      <c r="V12" s="42">
        <f>INDEX(Inputs!$D$158:$H$158,1,V$6-2025)</f>
        <v/>
      </c>
      <c r="W12" s="42">
        <f>INDEX(Inputs!$D$158:$H$158,1,W$6-2025)</f>
        <v/>
      </c>
      <c r="X12" s="42">
        <f>INDEX(Inputs!$D$158:$H$158,1,X$6-2025)</f>
        <v/>
      </c>
      <c r="Y12" s="42">
        <f>INDEX(Inputs!$D$158:$H$158,1,Y$6-2025)</f>
        <v/>
      </c>
      <c r="Z12" s="42">
        <f>INDEX(Inputs!$D$158:$H$158,1,Z$6-2025)</f>
        <v/>
      </c>
      <c r="AA12" s="42">
        <f>INDEX(Inputs!$D$158:$H$158,1,AA$6-2025)</f>
        <v/>
      </c>
      <c r="AB12" s="42">
        <f>INDEX(Inputs!$D$158:$H$158,1,AB$6-2025)</f>
        <v/>
      </c>
      <c r="AC12" s="42">
        <f>INDEX(Inputs!$D$158:$H$158,1,AC$6-2025)</f>
        <v/>
      </c>
      <c r="AD12" s="42">
        <f>INDEX(Inputs!$D$158:$H$158,1,AD$6-2025)</f>
        <v/>
      </c>
      <c r="AE12" s="42">
        <f>INDEX(Inputs!$D$158:$H$158,1,AE$6-2025)</f>
        <v/>
      </c>
      <c r="AF12" s="42">
        <f>INDEX(Inputs!$D$158:$H$158,1,AF$6-2025)</f>
        <v/>
      </c>
      <c r="AG12" s="42">
        <f>INDEX(Inputs!$D$158:$H$158,1,AG$6-2025)</f>
        <v/>
      </c>
      <c r="AH12" s="42">
        <f>INDEX(Inputs!$D$158:$H$158,1,AH$6-2025)</f>
        <v/>
      </c>
      <c r="AI12" s="42">
        <f>INDEX(Inputs!$D$158:$H$158,1,AI$6-2025)</f>
        <v/>
      </c>
      <c r="AJ12" s="42">
        <f>INDEX(Inputs!$D$158:$H$158,1,AJ$6-2025)</f>
        <v/>
      </c>
      <c r="AK12" s="42">
        <f>INDEX(Inputs!$D$158:$H$158,1,AK$6-2025)</f>
        <v/>
      </c>
      <c r="AL12" s="42">
        <f>INDEX(Inputs!$D$158:$H$158,1,AL$6-2025)</f>
        <v/>
      </c>
      <c r="AM12" s="42">
        <f>INDEX(Inputs!$D$158:$H$158,1,AM$6-2025)</f>
        <v/>
      </c>
      <c r="AN12" s="42">
        <f>INDEX(Inputs!$D$158:$H$158,1,AN$6-2025)</f>
        <v/>
      </c>
      <c r="AO12" s="42">
        <f>INDEX(Inputs!$D$158:$H$158,1,AO$6-2025)</f>
        <v/>
      </c>
      <c r="AP12" s="42">
        <f>INDEX(Inputs!$D$158:$H$158,1,AP$6-2025)</f>
        <v/>
      </c>
      <c r="AQ12" s="42">
        <f>INDEX(Inputs!$D$158:$H$158,1,AQ$6-2025)</f>
        <v/>
      </c>
      <c r="AR12" s="42">
        <f>INDEX(Inputs!$D$158:$H$158,1,AR$6-2025)</f>
        <v/>
      </c>
      <c r="AS12" s="42">
        <f>INDEX(Inputs!$D$158:$H$158,1,AS$6-2025)</f>
        <v/>
      </c>
      <c r="AT12" s="42">
        <f>INDEX(Inputs!$D$158:$H$158,1,AT$6-2025)</f>
        <v/>
      </c>
      <c r="AU12" s="42">
        <f>INDEX(Inputs!$D$158:$H$158,1,AU$6-2025)</f>
        <v/>
      </c>
      <c r="AV12" s="42">
        <f>INDEX(Inputs!$D$158:$H$158,1,AV$6-2025)</f>
        <v/>
      </c>
      <c r="AW12" s="42">
        <f>INDEX(Inputs!$D$158:$H$158,1,AW$6-2025)</f>
        <v/>
      </c>
      <c r="AX12" s="42">
        <f>INDEX(Inputs!$D$158:$H$158,1,AX$6-2025)</f>
        <v/>
      </c>
      <c r="AY12" s="42">
        <f>INDEX(Inputs!$D$158:$H$158,1,AY$6-2025)</f>
        <v/>
      </c>
      <c r="AZ12" s="42">
        <f>INDEX(Inputs!$D$158:$H$158,1,AZ$6-2025)</f>
        <v/>
      </c>
      <c r="BA12" s="42">
        <f>INDEX(Inputs!$D$158:$H$158,1,BA$6-2025)</f>
        <v/>
      </c>
      <c r="BB12" s="42">
        <f>INDEX(Inputs!$D$158:$H$158,1,BB$6-2025)</f>
        <v/>
      </c>
      <c r="BC12" s="42">
        <f>INDEX(Inputs!$D$158:$H$158,1,BC$6-2025)</f>
        <v/>
      </c>
      <c r="BD12" s="42">
        <f>INDEX(Inputs!$D$158:$H$158,1,BD$6-2025)</f>
        <v/>
      </c>
      <c r="BE12" s="42">
        <f>INDEX(Inputs!$D$158:$H$158,1,BE$6-2025)</f>
        <v/>
      </c>
      <c r="BF12" s="42">
        <f>INDEX(Inputs!$D$158:$H$158,1,BF$6-2025)</f>
        <v/>
      </c>
      <c r="BG12" s="42">
        <f>INDEX(Inputs!$D$158:$H$158,1,BG$6-2025)</f>
        <v/>
      </c>
      <c r="BH12" s="42">
        <f>INDEX(Inputs!$D$158:$H$158,1,BH$6-2025)</f>
        <v/>
      </c>
      <c r="BI12" s="42">
        <f>INDEX(Inputs!$D$158:$H$158,1,BI$6-2025)</f>
        <v/>
      </c>
      <c r="BJ12" s="42">
        <f>INDEX(Inputs!$D$158:$H$158,1,BJ$6-2025)</f>
        <v/>
      </c>
      <c r="BK12" s="42">
        <f>INDEX(Inputs!$D$158:$H$158,1,BK$6-2025)</f>
        <v/>
      </c>
    </row>
    <row r="13">
      <c r="B13" s="18" t="inlineStr">
        <is>
          <t xml:space="preserve">    G&amp;A headcount</t>
        </is>
      </c>
      <c r="C13" s="19" t="inlineStr">
        <is>
          <t>#</t>
        </is>
      </c>
      <c r="D13" s="44">
        <f>Inputs!$D$131+D12</f>
        <v/>
      </c>
      <c r="E13" s="44">
        <f>D13+E12</f>
        <v/>
      </c>
      <c r="F13" s="44">
        <f>E13+F12</f>
        <v/>
      </c>
      <c r="G13" s="44">
        <f>F13+G12</f>
        <v/>
      </c>
      <c r="H13" s="44">
        <f>G13+H12</f>
        <v/>
      </c>
      <c r="I13" s="44">
        <f>H13+I12</f>
        <v/>
      </c>
      <c r="J13" s="44">
        <f>I13+J12</f>
        <v/>
      </c>
      <c r="K13" s="44">
        <f>J13+K12</f>
        <v/>
      </c>
      <c r="L13" s="44">
        <f>K13+L12</f>
        <v/>
      </c>
      <c r="M13" s="44">
        <f>L13+M12</f>
        <v/>
      </c>
      <c r="N13" s="44">
        <f>M13+N12</f>
        <v/>
      </c>
      <c r="O13" s="44">
        <f>N13+O12</f>
        <v/>
      </c>
      <c r="P13" s="44">
        <f>O13+P12</f>
        <v/>
      </c>
      <c r="Q13" s="44">
        <f>P13+Q12</f>
        <v/>
      </c>
      <c r="R13" s="44">
        <f>Q13+R12</f>
        <v/>
      </c>
      <c r="S13" s="44">
        <f>R13+S12</f>
        <v/>
      </c>
      <c r="T13" s="44">
        <f>S13+T12</f>
        <v/>
      </c>
      <c r="U13" s="44">
        <f>T13+U12</f>
        <v/>
      </c>
      <c r="V13" s="44">
        <f>U13+V12</f>
        <v/>
      </c>
      <c r="W13" s="44">
        <f>V13+W12</f>
        <v/>
      </c>
      <c r="X13" s="44">
        <f>W13+X12</f>
        <v/>
      </c>
      <c r="Y13" s="44">
        <f>X13+Y12</f>
        <v/>
      </c>
      <c r="Z13" s="44">
        <f>Y13+Z12</f>
        <v/>
      </c>
      <c r="AA13" s="44">
        <f>Z13+AA12</f>
        <v/>
      </c>
      <c r="AB13" s="44">
        <f>AA13+AB12</f>
        <v/>
      </c>
      <c r="AC13" s="44">
        <f>AB13+AC12</f>
        <v/>
      </c>
      <c r="AD13" s="44">
        <f>AC13+AD12</f>
        <v/>
      </c>
      <c r="AE13" s="44">
        <f>AD13+AE12</f>
        <v/>
      </c>
      <c r="AF13" s="44">
        <f>AE13+AF12</f>
        <v/>
      </c>
      <c r="AG13" s="44">
        <f>AF13+AG12</f>
        <v/>
      </c>
      <c r="AH13" s="44">
        <f>AG13+AH12</f>
        <v/>
      </c>
      <c r="AI13" s="44">
        <f>AH13+AI12</f>
        <v/>
      </c>
      <c r="AJ13" s="44">
        <f>AI13+AJ12</f>
        <v/>
      </c>
      <c r="AK13" s="44">
        <f>AJ13+AK12</f>
        <v/>
      </c>
      <c r="AL13" s="44">
        <f>AK13+AL12</f>
        <v/>
      </c>
      <c r="AM13" s="44">
        <f>AL13+AM12</f>
        <v/>
      </c>
      <c r="AN13" s="44">
        <f>AM13+AN12</f>
        <v/>
      </c>
      <c r="AO13" s="44">
        <f>AN13+AO12</f>
        <v/>
      </c>
      <c r="AP13" s="44">
        <f>AO13+AP12</f>
        <v/>
      </c>
      <c r="AQ13" s="44">
        <f>AP13+AQ12</f>
        <v/>
      </c>
      <c r="AR13" s="44">
        <f>AQ13+AR12</f>
        <v/>
      </c>
      <c r="AS13" s="44">
        <f>AR13+AS12</f>
        <v/>
      </c>
      <c r="AT13" s="44">
        <f>AS13+AT12</f>
        <v/>
      </c>
      <c r="AU13" s="44">
        <f>AT13+AU12</f>
        <v/>
      </c>
      <c r="AV13" s="44">
        <f>AU13+AV12</f>
        <v/>
      </c>
      <c r="AW13" s="44">
        <f>AV13+AW12</f>
        <v/>
      </c>
      <c r="AX13" s="44">
        <f>AW13+AX12</f>
        <v/>
      </c>
      <c r="AY13" s="44">
        <f>AX13+AY12</f>
        <v/>
      </c>
      <c r="AZ13" s="44">
        <f>AY13+AZ12</f>
        <v/>
      </c>
      <c r="BA13" s="44">
        <f>AZ13+BA12</f>
        <v/>
      </c>
      <c r="BB13" s="44">
        <f>BA13+BB12</f>
        <v/>
      </c>
      <c r="BC13" s="44">
        <f>BB13+BC12</f>
        <v/>
      </c>
      <c r="BD13" s="44">
        <f>BC13+BD12</f>
        <v/>
      </c>
      <c r="BE13" s="44">
        <f>BD13+BE12</f>
        <v/>
      </c>
      <c r="BF13" s="44">
        <f>BE13+BF12</f>
        <v/>
      </c>
      <c r="BG13" s="44">
        <f>BF13+BG12</f>
        <v/>
      </c>
      <c r="BH13" s="44">
        <f>BG13+BH12</f>
        <v/>
      </c>
      <c r="BI13" s="44">
        <f>BH13+BI12</f>
        <v/>
      </c>
      <c r="BJ13" s="44">
        <f>BI13+BJ12</f>
        <v/>
      </c>
      <c r="BK13" s="44">
        <f>BJ13+BK12</f>
        <v/>
      </c>
      <c r="BM13" s="43">
        <f>O13</f>
        <v/>
      </c>
      <c r="BN13" s="43">
        <f>AA13</f>
        <v/>
      </c>
      <c r="BO13" s="43">
        <f>AM13</f>
        <v/>
      </c>
      <c r="BP13" s="43">
        <f>AY13</f>
        <v/>
      </c>
      <c r="BQ13" s="43">
        <f>BK13</f>
        <v/>
      </c>
    </row>
    <row r="14">
      <c r="B14" s="18" t="inlineStr">
        <is>
          <t xml:space="preserve">    Customer success headcount</t>
        </is>
      </c>
      <c r="C14" s="19" t="inlineStr">
        <is>
          <t>#</t>
        </is>
      </c>
      <c r="D14" s="42">
        <f>MAX('Rev-ARR Bridge'!D17/INDEX(Inputs!$D$150:$H$150,1,D$6-2025),Inputs!$D$130*0.5)</f>
        <v/>
      </c>
      <c r="E14" s="42">
        <f>MAX('Rev-ARR Bridge'!E17/INDEX(Inputs!$D$150:$H$150,1,E$6-2025),Inputs!$D$130*0.5)</f>
        <v/>
      </c>
      <c r="F14" s="42">
        <f>MAX('Rev-ARR Bridge'!F17/INDEX(Inputs!$D$150:$H$150,1,F$6-2025),Inputs!$D$130*0.5)</f>
        <v/>
      </c>
      <c r="G14" s="42">
        <f>MAX('Rev-ARR Bridge'!G17/INDEX(Inputs!$D$150:$H$150,1,G$6-2025),Inputs!$D$130*0.5)</f>
        <v/>
      </c>
      <c r="H14" s="42">
        <f>MAX('Rev-ARR Bridge'!H17/INDEX(Inputs!$D$150:$H$150,1,H$6-2025),Inputs!$D$130*0.5)</f>
        <v/>
      </c>
      <c r="I14" s="42">
        <f>MAX('Rev-ARR Bridge'!I17/INDEX(Inputs!$D$150:$H$150,1,I$6-2025),Inputs!$D$130*0.5)</f>
        <v/>
      </c>
      <c r="J14" s="42">
        <f>MAX('Rev-ARR Bridge'!J17/INDEX(Inputs!$D$150:$H$150,1,J$6-2025),Inputs!$D$130*0.5)</f>
        <v/>
      </c>
      <c r="K14" s="42">
        <f>MAX('Rev-ARR Bridge'!K17/INDEX(Inputs!$D$150:$H$150,1,K$6-2025),Inputs!$D$130*0.5)</f>
        <v/>
      </c>
      <c r="L14" s="42">
        <f>MAX('Rev-ARR Bridge'!L17/INDEX(Inputs!$D$150:$H$150,1,L$6-2025),Inputs!$D$130*0.5)</f>
        <v/>
      </c>
      <c r="M14" s="42">
        <f>MAX('Rev-ARR Bridge'!M17/INDEX(Inputs!$D$150:$H$150,1,M$6-2025),Inputs!$D$130*0.5)</f>
        <v/>
      </c>
      <c r="N14" s="42">
        <f>MAX('Rev-ARR Bridge'!N17/INDEX(Inputs!$D$150:$H$150,1,N$6-2025),Inputs!$D$130*0.5)</f>
        <v/>
      </c>
      <c r="O14" s="42">
        <f>MAX('Rev-ARR Bridge'!O17/INDEX(Inputs!$D$150:$H$150,1,O$6-2025),Inputs!$D$130*0.5)</f>
        <v/>
      </c>
      <c r="P14" s="42">
        <f>MAX('Rev-ARR Bridge'!P17/INDEX(Inputs!$D$150:$H$150,1,P$6-2025),Inputs!$D$130*0.5)</f>
        <v/>
      </c>
      <c r="Q14" s="42">
        <f>MAX('Rev-ARR Bridge'!Q17/INDEX(Inputs!$D$150:$H$150,1,Q$6-2025),Inputs!$D$130*0.5)</f>
        <v/>
      </c>
      <c r="R14" s="42">
        <f>MAX('Rev-ARR Bridge'!R17/INDEX(Inputs!$D$150:$H$150,1,R$6-2025),Inputs!$D$130*0.5)</f>
        <v/>
      </c>
      <c r="S14" s="42">
        <f>MAX('Rev-ARR Bridge'!S17/INDEX(Inputs!$D$150:$H$150,1,S$6-2025),Inputs!$D$130*0.5)</f>
        <v/>
      </c>
      <c r="T14" s="42">
        <f>MAX('Rev-ARR Bridge'!T17/INDEX(Inputs!$D$150:$H$150,1,T$6-2025),Inputs!$D$130*0.5)</f>
        <v/>
      </c>
      <c r="U14" s="42">
        <f>MAX('Rev-ARR Bridge'!U17/INDEX(Inputs!$D$150:$H$150,1,U$6-2025),Inputs!$D$130*0.5)</f>
        <v/>
      </c>
      <c r="V14" s="42">
        <f>MAX('Rev-ARR Bridge'!V17/INDEX(Inputs!$D$150:$H$150,1,V$6-2025),Inputs!$D$130*0.5)</f>
        <v/>
      </c>
      <c r="W14" s="42">
        <f>MAX('Rev-ARR Bridge'!W17/INDEX(Inputs!$D$150:$H$150,1,W$6-2025),Inputs!$D$130*0.5)</f>
        <v/>
      </c>
      <c r="X14" s="42">
        <f>MAX('Rev-ARR Bridge'!X17/INDEX(Inputs!$D$150:$H$150,1,X$6-2025),Inputs!$D$130*0.5)</f>
        <v/>
      </c>
      <c r="Y14" s="42">
        <f>MAX('Rev-ARR Bridge'!Y17/INDEX(Inputs!$D$150:$H$150,1,Y$6-2025),Inputs!$D$130*0.5)</f>
        <v/>
      </c>
      <c r="Z14" s="42">
        <f>MAX('Rev-ARR Bridge'!Z17/INDEX(Inputs!$D$150:$H$150,1,Z$6-2025),Inputs!$D$130*0.5)</f>
        <v/>
      </c>
      <c r="AA14" s="42">
        <f>MAX('Rev-ARR Bridge'!AA17/INDEX(Inputs!$D$150:$H$150,1,AA$6-2025),Inputs!$D$130*0.5)</f>
        <v/>
      </c>
      <c r="AB14" s="42">
        <f>MAX('Rev-ARR Bridge'!AB17/INDEX(Inputs!$D$150:$H$150,1,AB$6-2025),Inputs!$D$130*0.5)</f>
        <v/>
      </c>
      <c r="AC14" s="42">
        <f>MAX('Rev-ARR Bridge'!AC17/INDEX(Inputs!$D$150:$H$150,1,AC$6-2025),Inputs!$D$130*0.5)</f>
        <v/>
      </c>
      <c r="AD14" s="42">
        <f>MAX('Rev-ARR Bridge'!AD17/INDEX(Inputs!$D$150:$H$150,1,AD$6-2025),Inputs!$D$130*0.5)</f>
        <v/>
      </c>
      <c r="AE14" s="42">
        <f>MAX('Rev-ARR Bridge'!AE17/INDEX(Inputs!$D$150:$H$150,1,AE$6-2025),Inputs!$D$130*0.5)</f>
        <v/>
      </c>
      <c r="AF14" s="42">
        <f>MAX('Rev-ARR Bridge'!AF17/INDEX(Inputs!$D$150:$H$150,1,AF$6-2025),Inputs!$D$130*0.5)</f>
        <v/>
      </c>
      <c r="AG14" s="42">
        <f>MAX('Rev-ARR Bridge'!AG17/INDEX(Inputs!$D$150:$H$150,1,AG$6-2025),Inputs!$D$130*0.5)</f>
        <v/>
      </c>
      <c r="AH14" s="42">
        <f>MAX('Rev-ARR Bridge'!AH17/INDEX(Inputs!$D$150:$H$150,1,AH$6-2025),Inputs!$D$130*0.5)</f>
        <v/>
      </c>
      <c r="AI14" s="42">
        <f>MAX('Rev-ARR Bridge'!AI17/INDEX(Inputs!$D$150:$H$150,1,AI$6-2025),Inputs!$D$130*0.5)</f>
        <v/>
      </c>
      <c r="AJ14" s="42">
        <f>MAX('Rev-ARR Bridge'!AJ17/INDEX(Inputs!$D$150:$H$150,1,AJ$6-2025),Inputs!$D$130*0.5)</f>
        <v/>
      </c>
      <c r="AK14" s="42">
        <f>MAX('Rev-ARR Bridge'!AK17/INDEX(Inputs!$D$150:$H$150,1,AK$6-2025),Inputs!$D$130*0.5)</f>
        <v/>
      </c>
      <c r="AL14" s="42">
        <f>MAX('Rev-ARR Bridge'!AL17/INDEX(Inputs!$D$150:$H$150,1,AL$6-2025),Inputs!$D$130*0.5)</f>
        <v/>
      </c>
      <c r="AM14" s="42">
        <f>MAX('Rev-ARR Bridge'!AM17/INDEX(Inputs!$D$150:$H$150,1,AM$6-2025),Inputs!$D$130*0.5)</f>
        <v/>
      </c>
      <c r="AN14" s="42">
        <f>MAX('Rev-ARR Bridge'!AN17/INDEX(Inputs!$D$150:$H$150,1,AN$6-2025),Inputs!$D$130*0.5)</f>
        <v/>
      </c>
      <c r="AO14" s="42">
        <f>MAX('Rev-ARR Bridge'!AO17/INDEX(Inputs!$D$150:$H$150,1,AO$6-2025),Inputs!$D$130*0.5)</f>
        <v/>
      </c>
      <c r="AP14" s="42">
        <f>MAX('Rev-ARR Bridge'!AP17/INDEX(Inputs!$D$150:$H$150,1,AP$6-2025),Inputs!$D$130*0.5)</f>
        <v/>
      </c>
      <c r="AQ14" s="42">
        <f>MAX('Rev-ARR Bridge'!AQ17/INDEX(Inputs!$D$150:$H$150,1,AQ$6-2025),Inputs!$D$130*0.5)</f>
        <v/>
      </c>
      <c r="AR14" s="42">
        <f>MAX('Rev-ARR Bridge'!AR17/INDEX(Inputs!$D$150:$H$150,1,AR$6-2025),Inputs!$D$130*0.5)</f>
        <v/>
      </c>
      <c r="AS14" s="42">
        <f>MAX('Rev-ARR Bridge'!AS17/INDEX(Inputs!$D$150:$H$150,1,AS$6-2025),Inputs!$D$130*0.5)</f>
        <v/>
      </c>
      <c r="AT14" s="42">
        <f>MAX('Rev-ARR Bridge'!AT17/INDEX(Inputs!$D$150:$H$150,1,AT$6-2025),Inputs!$D$130*0.5)</f>
        <v/>
      </c>
      <c r="AU14" s="42">
        <f>MAX('Rev-ARR Bridge'!AU17/INDEX(Inputs!$D$150:$H$150,1,AU$6-2025),Inputs!$D$130*0.5)</f>
        <v/>
      </c>
      <c r="AV14" s="42">
        <f>MAX('Rev-ARR Bridge'!AV17/INDEX(Inputs!$D$150:$H$150,1,AV$6-2025),Inputs!$D$130*0.5)</f>
        <v/>
      </c>
      <c r="AW14" s="42">
        <f>MAX('Rev-ARR Bridge'!AW17/INDEX(Inputs!$D$150:$H$150,1,AW$6-2025),Inputs!$D$130*0.5)</f>
        <v/>
      </c>
      <c r="AX14" s="42">
        <f>MAX('Rev-ARR Bridge'!AX17/INDEX(Inputs!$D$150:$H$150,1,AX$6-2025),Inputs!$D$130*0.5)</f>
        <v/>
      </c>
      <c r="AY14" s="42">
        <f>MAX('Rev-ARR Bridge'!AY17/INDEX(Inputs!$D$150:$H$150,1,AY$6-2025),Inputs!$D$130*0.5)</f>
        <v/>
      </c>
      <c r="AZ14" s="42">
        <f>MAX('Rev-ARR Bridge'!AZ17/INDEX(Inputs!$D$150:$H$150,1,AZ$6-2025),Inputs!$D$130*0.5)</f>
        <v/>
      </c>
      <c r="BA14" s="42">
        <f>MAX('Rev-ARR Bridge'!BA17/INDEX(Inputs!$D$150:$H$150,1,BA$6-2025),Inputs!$D$130*0.5)</f>
        <v/>
      </c>
      <c r="BB14" s="42">
        <f>MAX('Rev-ARR Bridge'!BB17/INDEX(Inputs!$D$150:$H$150,1,BB$6-2025),Inputs!$D$130*0.5)</f>
        <v/>
      </c>
      <c r="BC14" s="42">
        <f>MAX('Rev-ARR Bridge'!BC17/INDEX(Inputs!$D$150:$H$150,1,BC$6-2025),Inputs!$D$130*0.5)</f>
        <v/>
      </c>
      <c r="BD14" s="42">
        <f>MAX('Rev-ARR Bridge'!BD17/INDEX(Inputs!$D$150:$H$150,1,BD$6-2025),Inputs!$D$130*0.5)</f>
        <v/>
      </c>
      <c r="BE14" s="42">
        <f>MAX('Rev-ARR Bridge'!BE17/INDEX(Inputs!$D$150:$H$150,1,BE$6-2025),Inputs!$D$130*0.5)</f>
        <v/>
      </c>
      <c r="BF14" s="42">
        <f>MAX('Rev-ARR Bridge'!BF17/INDEX(Inputs!$D$150:$H$150,1,BF$6-2025),Inputs!$D$130*0.5)</f>
        <v/>
      </c>
      <c r="BG14" s="42">
        <f>MAX('Rev-ARR Bridge'!BG17/INDEX(Inputs!$D$150:$H$150,1,BG$6-2025),Inputs!$D$130*0.5)</f>
        <v/>
      </c>
      <c r="BH14" s="42">
        <f>MAX('Rev-ARR Bridge'!BH17/INDEX(Inputs!$D$150:$H$150,1,BH$6-2025),Inputs!$D$130*0.5)</f>
        <v/>
      </c>
      <c r="BI14" s="42">
        <f>MAX('Rev-ARR Bridge'!BI17/INDEX(Inputs!$D$150:$H$150,1,BI$6-2025),Inputs!$D$130*0.5)</f>
        <v/>
      </c>
      <c r="BJ14" s="42">
        <f>MAX('Rev-ARR Bridge'!BJ17/INDEX(Inputs!$D$150:$H$150,1,BJ$6-2025),Inputs!$D$130*0.5)</f>
        <v/>
      </c>
      <c r="BK14" s="42">
        <f>MAX('Rev-ARR Bridge'!BK17/INDEX(Inputs!$D$150:$H$150,1,BK$6-2025),Inputs!$D$130*0.5)</f>
        <v/>
      </c>
      <c r="BM14" s="43">
        <f>O14</f>
        <v/>
      </c>
      <c r="BN14" s="43">
        <f>AA14</f>
        <v/>
      </c>
      <c r="BO14" s="43">
        <f>AM14</f>
        <v/>
      </c>
      <c r="BP14" s="43">
        <f>AY14</f>
        <v/>
      </c>
      <c r="BQ14" s="43">
        <f>BK14</f>
        <v/>
      </c>
    </row>
    <row r="15">
      <c r="B15" s="18" t="inlineStr">
        <is>
          <t xml:space="preserve">    SDR headcount</t>
        </is>
      </c>
      <c r="C15" s="19" t="inlineStr">
        <is>
          <t>#</t>
        </is>
      </c>
      <c r="D15" s="42">
        <f>'Rev-Capacity'!D12*Inputs!$D$31</f>
        <v/>
      </c>
      <c r="E15" s="42">
        <f>'Rev-Capacity'!E12*Inputs!$D$31</f>
        <v/>
      </c>
      <c r="F15" s="42">
        <f>'Rev-Capacity'!F12*Inputs!$D$31</f>
        <v/>
      </c>
      <c r="G15" s="42">
        <f>'Rev-Capacity'!G12*Inputs!$D$31</f>
        <v/>
      </c>
      <c r="H15" s="42">
        <f>'Rev-Capacity'!H12*Inputs!$D$31</f>
        <v/>
      </c>
      <c r="I15" s="42">
        <f>'Rev-Capacity'!I12*Inputs!$D$31</f>
        <v/>
      </c>
      <c r="J15" s="42">
        <f>'Rev-Capacity'!J12*Inputs!$D$31</f>
        <v/>
      </c>
      <c r="K15" s="42">
        <f>'Rev-Capacity'!K12*Inputs!$D$31</f>
        <v/>
      </c>
      <c r="L15" s="42">
        <f>'Rev-Capacity'!L12*Inputs!$D$31</f>
        <v/>
      </c>
      <c r="M15" s="42">
        <f>'Rev-Capacity'!M12*Inputs!$D$31</f>
        <v/>
      </c>
      <c r="N15" s="42">
        <f>'Rev-Capacity'!N12*Inputs!$D$31</f>
        <v/>
      </c>
      <c r="O15" s="42">
        <f>'Rev-Capacity'!O12*Inputs!$D$31</f>
        <v/>
      </c>
      <c r="P15" s="42">
        <f>'Rev-Capacity'!P12*Inputs!$D$31</f>
        <v/>
      </c>
      <c r="Q15" s="42">
        <f>'Rev-Capacity'!Q12*Inputs!$D$31</f>
        <v/>
      </c>
      <c r="R15" s="42">
        <f>'Rev-Capacity'!R12*Inputs!$D$31</f>
        <v/>
      </c>
      <c r="S15" s="42">
        <f>'Rev-Capacity'!S12*Inputs!$D$31</f>
        <v/>
      </c>
      <c r="T15" s="42">
        <f>'Rev-Capacity'!T12*Inputs!$D$31</f>
        <v/>
      </c>
      <c r="U15" s="42">
        <f>'Rev-Capacity'!U12*Inputs!$D$31</f>
        <v/>
      </c>
      <c r="V15" s="42">
        <f>'Rev-Capacity'!V12*Inputs!$D$31</f>
        <v/>
      </c>
      <c r="W15" s="42">
        <f>'Rev-Capacity'!W12*Inputs!$D$31</f>
        <v/>
      </c>
      <c r="X15" s="42">
        <f>'Rev-Capacity'!X12*Inputs!$D$31</f>
        <v/>
      </c>
      <c r="Y15" s="42">
        <f>'Rev-Capacity'!Y12*Inputs!$D$31</f>
        <v/>
      </c>
      <c r="Z15" s="42">
        <f>'Rev-Capacity'!Z12*Inputs!$D$31</f>
        <v/>
      </c>
      <c r="AA15" s="42">
        <f>'Rev-Capacity'!AA12*Inputs!$D$31</f>
        <v/>
      </c>
      <c r="AB15" s="42">
        <f>'Rev-Capacity'!AB12*Inputs!$D$31</f>
        <v/>
      </c>
      <c r="AC15" s="42">
        <f>'Rev-Capacity'!AC12*Inputs!$D$31</f>
        <v/>
      </c>
      <c r="AD15" s="42">
        <f>'Rev-Capacity'!AD12*Inputs!$D$31</f>
        <v/>
      </c>
      <c r="AE15" s="42">
        <f>'Rev-Capacity'!AE12*Inputs!$D$31</f>
        <v/>
      </c>
      <c r="AF15" s="42">
        <f>'Rev-Capacity'!AF12*Inputs!$D$31</f>
        <v/>
      </c>
      <c r="AG15" s="42">
        <f>'Rev-Capacity'!AG12*Inputs!$D$31</f>
        <v/>
      </c>
      <c r="AH15" s="42">
        <f>'Rev-Capacity'!AH12*Inputs!$D$31</f>
        <v/>
      </c>
      <c r="AI15" s="42">
        <f>'Rev-Capacity'!AI12*Inputs!$D$31</f>
        <v/>
      </c>
      <c r="AJ15" s="42">
        <f>'Rev-Capacity'!AJ12*Inputs!$D$31</f>
        <v/>
      </c>
      <c r="AK15" s="42">
        <f>'Rev-Capacity'!AK12*Inputs!$D$31</f>
        <v/>
      </c>
      <c r="AL15" s="42">
        <f>'Rev-Capacity'!AL12*Inputs!$D$31</f>
        <v/>
      </c>
      <c r="AM15" s="42">
        <f>'Rev-Capacity'!AM12*Inputs!$D$31</f>
        <v/>
      </c>
      <c r="AN15" s="42">
        <f>'Rev-Capacity'!AN12*Inputs!$D$31</f>
        <v/>
      </c>
      <c r="AO15" s="42">
        <f>'Rev-Capacity'!AO12*Inputs!$D$31</f>
        <v/>
      </c>
      <c r="AP15" s="42">
        <f>'Rev-Capacity'!AP12*Inputs!$D$31</f>
        <v/>
      </c>
      <c r="AQ15" s="42">
        <f>'Rev-Capacity'!AQ12*Inputs!$D$31</f>
        <v/>
      </c>
      <c r="AR15" s="42">
        <f>'Rev-Capacity'!AR12*Inputs!$D$31</f>
        <v/>
      </c>
      <c r="AS15" s="42">
        <f>'Rev-Capacity'!AS12*Inputs!$D$31</f>
        <v/>
      </c>
      <c r="AT15" s="42">
        <f>'Rev-Capacity'!AT12*Inputs!$D$31</f>
        <v/>
      </c>
      <c r="AU15" s="42">
        <f>'Rev-Capacity'!AU12*Inputs!$D$31</f>
        <v/>
      </c>
      <c r="AV15" s="42">
        <f>'Rev-Capacity'!AV12*Inputs!$D$31</f>
        <v/>
      </c>
      <c r="AW15" s="42">
        <f>'Rev-Capacity'!AW12*Inputs!$D$31</f>
        <v/>
      </c>
      <c r="AX15" s="42">
        <f>'Rev-Capacity'!AX12*Inputs!$D$31</f>
        <v/>
      </c>
      <c r="AY15" s="42">
        <f>'Rev-Capacity'!AY12*Inputs!$D$31</f>
        <v/>
      </c>
      <c r="AZ15" s="42">
        <f>'Rev-Capacity'!AZ12*Inputs!$D$31</f>
        <v/>
      </c>
      <c r="BA15" s="42">
        <f>'Rev-Capacity'!BA12*Inputs!$D$31</f>
        <v/>
      </c>
      <c r="BB15" s="42">
        <f>'Rev-Capacity'!BB12*Inputs!$D$31</f>
        <v/>
      </c>
      <c r="BC15" s="42">
        <f>'Rev-Capacity'!BC12*Inputs!$D$31</f>
        <v/>
      </c>
      <c r="BD15" s="42">
        <f>'Rev-Capacity'!BD12*Inputs!$D$31</f>
        <v/>
      </c>
      <c r="BE15" s="42">
        <f>'Rev-Capacity'!BE12*Inputs!$D$31</f>
        <v/>
      </c>
      <c r="BF15" s="42">
        <f>'Rev-Capacity'!BF12*Inputs!$D$31</f>
        <v/>
      </c>
      <c r="BG15" s="42">
        <f>'Rev-Capacity'!BG12*Inputs!$D$31</f>
        <v/>
      </c>
      <c r="BH15" s="42">
        <f>'Rev-Capacity'!BH12*Inputs!$D$31</f>
        <v/>
      </c>
      <c r="BI15" s="42">
        <f>'Rev-Capacity'!BI12*Inputs!$D$31</f>
        <v/>
      </c>
      <c r="BJ15" s="42">
        <f>'Rev-Capacity'!BJ12*Inputs!$D$31</f>
        <v/>
      </c>
      <c r="BK15" s="42">
        <f>'Rev-Capacity'!BK12*Inputs!$D$31</f>
        <v/>
      </c>
    </row>
    <row r="16">
      <c r="B16" s="18" t="inlineStr">
        <is>
          <t xml:space="preserve">    MKTG headcount</t>
        </is>
      </c>
      <c r="C16" s="19" t="inlineStr">
        <is>
          <t>#</t>
        </is>
      </c>
      <c r="D16" s="42">
        <f>'Rev-Capacity'!D12*Inputs!$D$32</f>
        <v/>
      </c>
      <c r="E16" s="42">
        <f>'Rev-Capacity'!E12*Inputs!$D$32</f>
        <v/>
      </c>
      <c r="F16" s="42">
        <f>'Rev-Capacity'!F12*Inputs!$D$32</f>
        <v/>
      </c>
      <c r="G16" s="42">
        <f>'Rev-Capacity'!G12*Inputs!$D$32</f>
        <v/>
      </c>
      <c r="H16" s="42">
        <f>'Rev-Capacity'!H12*Inputs!$D$32</f>
        <v/>
      </c>
      <c r="I16" s="42">
        <f>'Rev-Capacity'!I12*Inputs!$D$32</f>
        <v/>
      </c>
      <c r="J16" s="42">
        <f>'Rev-Capacity'!J12*Inputs!$D$32</f>
        <v/>
      </c>
      <c r="K16" s="42">
        <f>'Rev-Capacity'!K12*Inputs!$D$32</f>
        <v/>
      </c>
      <c r="L16" s="42">
        <f>'Rev-Capacity'!L12*Inputs!$D$32</f>
        <v/>
      </c>
      <c r="M16" s="42">
        <f>'Rev-Capacity'!M12*Inputs!$D$32</f>
        <v/>
      </c>
      <c r="N16" s="42">
        <f>'Rev-Capacity'!N12*Inputs!$D$32</f>
        <v/>
      </c>
      <c r="O16" s="42">
        <f>'Rev-Capacity'!O12*Inputs!$D$32</f>
        <v/>
      </c>
      <c r="P16" s="42">
        <f>'Rev-Capacity'!P12*Inputs!$D$32</f>
        <v/>
      </c>
      <c r="Q16" s="42">
        <f>'Rev-Capacity'!Q12*Inputs!$D$32</f>
        <v/>
      </c>
      <c r="R16" s="42">
        <f>'Rev-Capacity'!R12*Inputs!$D$32</f>
        <v/>
      </c>
      <c r="S16" s="42">
        <f>'Rev-Capacity'!S12*Inputs!$D$32</f>
        <v/>
      </c>
      <c r="T16" s="42">
        <f>'Rev-Capacity'!T12*Inputs!$D$32</f>
        <v/>
      </c>
      <c r="U16" s="42">
        <f>'Rev-Capacity'!U12*Inputs!$D$32</f>
        <v/>
      </c>
      <c r="V16" s="42">
        <f>'Rev-Capacity'!V12*Inputs!$D$32</f>
        <v/>
      </c>
      <c r="W16" s="42">
        <f>'Rev-Capacity'!W12*Inputs!$D$32</f>
        <v/>
      </c>
      <c r="X16" s="42">
        <f>'Rev-Capacity'!X12*Inputs!$D$32</f>
        <v/>
      </c>
      <c r="Y16" s="42">
        <f>'Rev-Capacity'!Y12*Inputs!$D$32</f>
        <v/>
      </c>
      <c r="Z16" s="42">
        <f>'Rev-Capacity'!Z12*Inputs!$D$32</f>
        <v/>
      </c>
      <c r="AA16" s="42">
        <f>'Rev-Capacity'!AA12*Inputs!$D$32</f>
        <v/>
      </c>
      <c r="AB16" s="42">
        <f>'Rev-Capacity'!AB12*Inputs!$D$32</f>
        <v/>
      </c>
      <c r="AC16" s="42">
        <f>'Rev-Capacity'!AC12*Inputs!$D$32</f>
        <v/>
      </c>
      <c r="AD16" s="42">
        <f>'Rev-Capacity'!AD12*Inputs!$D$32</f>
        <v/>
      </c>
      <c r="AE16" s="42">
        <f>'Rev-Capacity'!AE12*Inputs!$D$32</f>
        <v/>
      </c>
      <c r="AF16" s="42">
        <f>'Rev-Capacity'!AF12*Inputs!$D$32</f>
        <v/>
      </c>
      <c r="AG16" s="42">
        <f>'Rev-Capacity'!AG12*Inputs!$D$32</f>
        <v/>
      </c>
      <c r="AH16" s="42">
        <f>'Rev-Capacity'!AH12*Inputs!$D$32</f>
        <v/>
      </c>
      <c r="AI16" s="42">
        <f>'Rev-Capacity'!AI12*Inputs!$D$32</f>
        <v/>
      </c>
      <c r="AJ16" s="42">
        <f>'Rev-Capacity'!AJ12*Inputs!$D$32</f>
        <v/>
      </c>
      <c r="AK16" s="42">
        <f>'Rev-Capacity'!AK12*Inputs!$D$32</f>
        <v/>
      </c>
      <c r="AL16" s="42">
        <f>'Rev-Capacity'!AL12*Inputs!$D$32</f>
        <v/>
      </c>
      <c r="AM16" s="42">
        <f>'Rev-Capacity'!AM12*Inputs!$D$32</f>
        <v/>
      </c>
      <c r="AN16" s="42">
        <f>'Rev-Capacity'!AN12*Inputs!$D$32</f>
        <v/>
      </c>
      <c r="AO16" s="42">
        <f>'Rev-Capacity'!AO12*Inputs!$D$32</f>
        <v/>
      </c>
      <c r="AP16" s="42">
        <f>'Rev-Capacity'!AP12*Inputs!$D$32</f>
        <v/>
      </c>
      <c r="AQ16" s="42">
        <f>'Rev-Capacity'!AQ12*Inputs!$D$32</f>
        <v/>
      </c>
      <c r="AR16" s="42">
        <f>'Rev-Capacity'!AR12*Inputs!$D$32</f>
        <v/>
      </c>
      <c r="AS16" s="42">
        <f>'Rev-Capacity'!AS12*Inputs!$D$32</f>
        <v/>
      </c>
      <c r="AT16" s="42">
        <f>'Rev-Capacity'!AT12*Inputs!$D$32</f>
        <v/>
      </c>
      <c r="AU16" s="42">
        <f>'Rev-Capacity'!AU12*Inputs!$D$32</f>
        <v/>
      </c>
      <c r="AV16" s="42">
        <f>'Rev-Capacity'!AV12*Inputs!$D$32</f>
        <v/>
      </c>
      <c r="AW16" s="42">
        <f>'Rev-Capacity'!AW12*Inputs!$D$32</f>
        <v/>
      </c>
      <c r="AX16" s="42">
        <f>'Rev-Capacity'!AX12*Inputs!$D$32</f>
        <v/>
      </c>
      <c r="AY16" s="42">
        <f>'Rev-Capacity'!AY12*Inputs!$D$32</f>
        <v/>
      </c>
      <c r="AZ16" s="42">
        <f>'Rev-Capacity'!AZ12*Inputs!$D$32</f>
        <v/>
      </c>
      <c r="BA16" s="42">
        <f>'Rev-Capacity'!BA12*Inputs!$D$32</f>
        <v/>
      </c>
      <c r="BB16" s="42">
        <f>'Rev-Capacity'!BB12*Inputs!$D$32</f>
        <v/>
      </c>
      <c r="BC16" s="42">
        <f>'Rev-Capacity'!BC12*Inputs!$D$32</f>
        <v/>
      </c>
      <c r="BD16" s="42">
        <f>'Rev-Capacity'!BD12*Inputs!$D$32</f>
        <v/>
      </c>
      <c r="BE16" s="42">
        <f>'Rev-Capacity'!BE12*Inputs!$D$32</f>
        <v/>
      </c>
      <c r="BF16" s="42">
        <f>'Rev-Capacity'!BF12*Inputs!$D$32</f>
        <v/>
      </c>
      <c r="BG16" s="42">
        <f>'Rev-Capacity'!BG12*Inputs!$D$32</f>
        <v/>
      </c>
      <c r="BH16" s="42">
        <f>'Rev-Capacity'!BH12*Inputs!$D$32</f>
        <v/>
      </c>
      <c r="BI16" s="42">
        <f>'Rev-Capacity'!BI12*Inputs!$D$32</f>
        <v/>
      </c>
      <c r="BJ16" s="42">
        <f>'Rev-Capacity'!BJ12*Inputs!$D$32</f>
        <v/>
      </c>
      <c r="BK16" s="42">
        <f>'Rev-Capacity'!BK12*Inputs!$D$32</f>
        <v/>
      </c>
    </row>
    <row r="17">
      <c r="B17" s="18" t="inlineStr">
        <is>
          <t xml:space="preserve">    SOPS headcount</t>
        </is>
      </c>
      <c r="C17" s="19" t="inlineStr">
        <is>
          <t>#</t>
        </is>
      </c>
      <c r="D17" s="42">
        <f>'Rev-Capacity'!D12*Inputs!$D$33</f>
        <v/>
      </c>
      <c r="E17" s="42">
        <f>'Rev-Capacity'!E12*Inputs!$D$33</f>
        <v/>
      </c>
      <c r="F17" s="42">
        <f>'Rev-Capacity'!F12*Inputs!$D$33</f>
        <v/>
      </c>
      <c r="G17" s="42">
        <f>'Rev-Capacity'!G12*Inputs!$D$33</f>
        <v/>
      </c>
      <c r="H17" s="42">
        <f>'Rev-Capacity'!H12*Inputs!$D$33</f>
        <v/>
      </c>
      <c r="I17" s="42">
        <f>'Rev-Capacity'!I12*Inputs!$D$33</f>
        <v/>
      </c>
      <c r="J17" s="42">
        <f>'Rev-Capacity'!J12*Inputs!$D$33</f>
        <v/>
      </c>
      <c r="K17" s="42">
        <f>'Rev-Capacity'!K12*Inputs!$D$33</f>
        <v/>
      </c>
      <c r="L17" s="42">
        <f>'Rev-Capacity'!L12*Inputs!$D$33</f>
        <v/>
      </c>
      <c r="M17" s="42">
        <f>'Rev-Capacity'!M12*Inputs!$D$33</f>
        <v/>
      </c>
      <c r="N17" s="42">
        <f>'Rev-Capacity'!N12*Inputs!$D$33</f>
        <v/>
      </c>
      <c r="O17" s="42">
        <f>'Rev-Capacity'!O12*Inputs!$D$33</f>
        <v/>
      </c>
      <c r="P17" s="42">
        <f>'Rev-Capacity'!P12*Inputs!$D$33</f>
        <v/>
      </c>
      <c r="Q17" s="42">
        <f>'Rev-Capacity'!Q12*Inputs!$D$33</f>
        <v/>
      </c>
      <c r="R17" s="42">
        <f>'Rev-Capacity'!R12*Inputs!$D$33</f>
        <v/>
      </c>
      <c r="S17" s="42">
        <f>'Rev-Capacity'!S12*Inputs!$D$33</f>
        <v/>
      </c>
      <c r="T17" s="42">
        <f>'Rev-Capacity'!T12*Inputs!$D$33</f>
        <v/>
      </c>
      <c r="U17" s="42">
        <f>'Rev-Capacity'!U12*Inputs!$D$33</f>
        <v/>
      </c>
      <c r="V17" s="42">
        <f>'Rev-Capacity'!V12*Inputs!$D$33</f>
        <v/>
      </c>
      <c r="W17" s="42">
        <f>'Rev-Capacity'!W12*Inputs!$D$33</f>
        <v/>
      </c>
      <c r="X17" s="42">
        <f>'Rev-Capacity'!X12*Inputs!$D$33</f>
        <v/>
      </c>
      <c r="Y17" s="42">
        <f>'Rev-Capacity'!Y12*Inputs!$D$33</f>
        <v/>
      </c>
      <c r="Z17" s="42">
        <f>'Rev-Capacity'!Z12*Inputs!$D$33</f>
        <v/>
      </c>
      <c r="AA17" s="42">
        <f>'Rev-Capacity'!AA12*Inputs!$D$33</f>
        <v/>
      </c>
      <c r="AB17" s="42">
        <f>'Rev-Capacity'!AB12*Inputs!$D$33</f>
        <v/>
      </c>
      <c r="AC17" s="42">
        <f>'Rev-Capacity'!AC12*Inputs!$D$33</f>
        <v/>
      </c>
      <c r="AD17" s="42">
        <f>'Rev-Capacity'!AD12*Inputs!$D$33</f>
        <v/>
      </c>
      <c r="AE17" s="42">
        <f>'Rev-Capacity'!AE12*Inputs!$D$33</f>
        <v/>
      </c>
      <c r="AF17" s="42">
        <f>'Rev-Capacity'!AF12*Inputs!$D$33</f>
        <v/>
      </c>
      <c r="AG17" s="42">
        <f>'Rev-Capacity'!AG12*Inputs!$D$33</f>
        <v/>
      </c>
      <c r="AH17" s="42">
        <f>'Rev-Capacity'!AH12*Inputs!$D$33</f>
        <v/>
      </c>
      <c r="AI17" s="42">
        <f>'Rev-Capacity'!AI12*Inputs!$D$33</f>
        <v/>
      </c>
      <c r="AJ17" s="42">
        <f>'Rev-Capacity'!AJ12*Inputs!$D$33</f>
        <v/>
      </c>
      <c r="AK17" s="42">
        <f>'Rev-Capacity'!AK12*Inputs!$D$33</f>
        <v/>
      </c>
      <c r="AL17" s="42">
        <f>'Rev-Capacity'!AL12*Inputs!$D$33</f>
        <v/>
      </c>
      <c r="AM17" s="42">
        <f>'Rev-Capacity'!AM12*Inputs!$D$33</f>
        <v/>
      </c>
      <c r="AN17" s="42">
        <f>'Rev-Capacity'!AN12*Inputs!$D$33</f>
        <v/>
      </c>
      <c r="AO17" s="42">
        <f>'Rev-Capacity'!AO12*Inputs!$D$33</f>
        <v/>
      </c>
      <c r="AP17" s="42">
        <f>'Rev-Capacity'!AP12*Inputs!$D$33</f>
        <v/>
      </c>
      <c r="AQ17" s="42">
        <f>'Rev-Capacity'!AQ12*Inputs!$D$33</f>
        <v/>
      </c>
      <c r="AR17" s="42">
        <f>'Rev-Capacity'!AR12*Inputs!$D$33</f>
        <v/>
      </c>
      <c r="AS17" s="42">
        <f>'Rev-Capacity'!AS12*Inputs!$D$33</f>
        <v/>
      </c>
      <c r="AT17" s="42">
        <f>'Rev-Capacity'!AT12*Inputs!$D$33</f>
        <v/>
      </c>
      <c r="AU17" s="42">
        <f>'Rev-Capacity'!AU12*Inputs!$D$33</f>
        <v/>
      </c>
      <c r="AV17" s="42">
        <f>'Rev-Capacity'!AV12*Inputs!$D$33</f>
        <v/>
      </c>
      <c r="AW17" s="42">
        <f>'Rev-Capacity'!AW12*Inputs!$D$33</f>
        <v/>
      </c>
      <c r="AX17" s="42">
        <f>'Rev-Capacity'!AX12*Inputs!$D$33</f>
        <v/>
      </c>
      <c r="AY17" s="42">
        <f>'Rev-Capacity'!AY12*Inputs!$D$33</f>
        <v/>
      </c>
      <c r="AZ17" s="42">
        <f>'Rev-Capacity'!AZ12*Inputs!$D$33</f>
        <v/>
      </c>
      <c r="BA17" s="42">
        <f>'Rev-Capacity'!BA12*Inputs!$D$33</f>
        <v/>
      </c>
      <c r="BB17" s="42">
        <f>'Rev-Capacity'!BB12*Inputs!$D$33</f>
        <v/>
      </c>
      <c r="BC17" s="42">
        <f>'Rev-Capacity'!BC12*Inputs!$D$33</f>
        <v/>
      </c>
      <c r="BD17" s="42">
        <f>'Rev-Capacity'!BD12*Inputs!$D$33</f>
        <v/>
      </c>
      <c r="BE17" s="42">
        <f>'Rev-Capacity'!BE12*Inputs!$D$33</f>
        <v/>
      </c>
      <c r="BF17" s="42">
        <f>'Rev-Capacity'!BF12*Inputs!$D$33</f>
        <v/>
      </c>
      <c r="BG17" s="42">
        <f>'Rev-Capacity'!BG12*Inputs!$D$33</f>
        <v/>
      </c>
      <c r="BH17" s="42">
        <f>'Rev-Capacity'!BH12*Inputs!$D$33</f>
        <v/>
      </c>
      <c r="BI17" s="42">
        <f>'Rev-Capacity'!BI12*Inputs!$D$33</f>
        <v/>
      </c>
      <c r="BJ17" s="42">
        <f>'Rev-Capacity'!BJ12*Inputs!$D$33</f>
        <v/>
      </c>
      <c r="BK17" s="42">
        <f>'Rev-Capacity'!BK12*Inputs!$D$33</f>
        <v/>
      </c>
    </row>
    <row r="18">
      <c r="B18" s="18" t="inlineStr">
        <is>
          <t xml:space="preserve">    ENABLE headcount</t>
        </is>
      </c>
      <c r="C18" s="19" t="inlineStr">
        <is>
          <t>#</t>
        </is>
      </c>
      <c r="D18" s="42">
        <f>'Rev-Capacity'!D12*Inputs!$D$34</f>
        <v/>
      </c>
      <c r="E18" s="42">
        <f>'Rev-Capacity'!E12*Inputs!$D$34</f>
        <v/>
      </c>
      <c r="F18" s="42">
        <f>'Rev-Capacity'!F12*Inputs!$D$34</f>
        <v/>
      </c>
      <c r="G18" s="42">
        <f>'Rev-Capacity'!G12*Inputs!$D$34</f>
        <v/>
      </c>
      <c r="H18" s="42">
        <f>'Rev-Capacity'!H12*Inputs!$D$34</f>
        <v/>
      </c>
      <c r="I18" s="42">
        <f>'Rev-Capacity'!I12*Inputs!$D$34</f>
        <v/>
      </c>
      <c r="J18" s="42">
        <f>'Rev-Capacity'!J12*Inputs!$D$34</f>
        <v/>
      </c>
      <c r="K18" s="42">
        <f>'Rev-Capacity'!K12*Inputs!$D$34</f>
        <v/>
      </c>
      <c r="L18" s="42">
        <f>'Rev-Capacity'!L12*Inputs!$D$34</f>
        <v/>
      </c>
      <c r="M18" s="42">
        <f>'Rev-Capacity'!M12*Inputs!$D$34</f>
        <v/>
      </c>
      <c r="N18" s="42">
        <f>'Rev-Capacity'!N12*Inputs!$D$34</f>
        <v/>
      </c>
      <c r="O18" s="42">
        <f>'Rev-Capacity'!O12*Inputs!$D$34</f>
        <v/>
      </c>
      <c r="P18" s="42">
        <f>'Rev-Capacity'!P12*Inputs!$D$34</f>
        <v/>
      </c>
      <c r="Q18" s="42">
        <f>'Rev-Capacity'!Q12*Inputs!$D$34</f>
        <v/>
      </c>
      <c r="R18" s="42">
        <f>'Rev-Capacity'!R12*Inputs!$D$34</f>
        <v/>
      </c>
      <c r="S18" s="42">
        <f>'Rev-Capacity'!S12*Inputs!$D$34</f>
        <v/>
      </c>
      <c r="T18" s="42">
        <f>'Rev-Capacity'!T12*Inputs!$D$34</f>
        <v/>
      </c>
      <c r="U18" s="42">
        <f>'Rev-Capacity'!U12*Inputs!$D$34</f>
        <v/>
      </c>
      <c r="V18" s="42">
        <f>'Rev-Capacity'!V12*Inputs!$D$34</f>
        <v/>
      </c>
      <c r="W18" s="42">
        <f>'Rev-Capacity'!W12*Inputs!$D$34</f>
        <v/>
      </c>
      <c r="X18" s="42">
        <f>'Rev-Capacity'!X12*Inputs!$D$34</f>
        <v/>
      </c>
      <c r="Y18" s="42">
        <f>'Rev-Capacity'!Y12*Inputs!$D$34</f>
        <v/>
      </c>
      <c r="Z18" s="42">
        <f>'Rev-Capacity'!Z12*Inputs!$D$34</f>
        <v/>
      </c>
      <c r="AA18" s="42">
        <f>'Rev-Capacity'!AA12*Inputs!$D$34</f>
        <v/>
      </c>
      <c r="AB18" s="42">
        <f>'Rev-Capacity'!AB12*Inputs!$D$34</f>
        <v/>
      </c>
      <c r="AC18" s="42">
        <f>'Rev-Capacity'!AC12*Inputs!$D$34</f>
        <v/>
      </c>
      <c r="AD18" s="42">
        <f>'Rev-Capacity'!AD12*Inputs!$D$34</f>
        <v/>
      </c>
      <c r="AE18" s="42">
        <f>'Rev-Capacity'!AE12*Inputs!$D$34</f>
        <v/>
      </c>
      <c r="AF18" s="42">
        <f>'Rev-Capacity'!AF12*Inputs!$D$34</f>
        <v/>
      </c>
      <c r="AG18" s="42">
        <f>'Rev-Capacity'!AG12*Inputs!$D$34</f>
        <v/>
      </c>
      <c r="AH18" s="42">
        <f>'Rev-Capacity'!AH12*Inputs!$D$34</f>
        <v/>
      </c>
      <c r="AI18" s="42">
        <f>'Rev-Capacity'!AI12*Inputs!$D$34</f>
        <v/>
      </c>
      <c r="AJ18" s="42">
        <f>'Rev-Capacity'!AJ12*Inputs!$D$34</f>
        <v/>
      </c>
      <c r="AK18" s="42">
        <f>'Rev-Capacity'!AK12*Inputs!$D$34</f>
        <v/>
      </c>
      <c r="AL18" s="42">
        <f>'Rev-Capacity'!AL12*Inputs!$D$34</f>
        <v/>
      </c>
      <c r="AM18" s="42">
        <f>'Rev-Capacity'!AM12*Inputs!$D$34</f>
        <v/>
      </c>
      <c r="AN18" s="42">
        <f>'Rev-Capacity'!AN12*Inputs!$D$34</f>
        <v/>
      </c>
      <c r="AO18" s="42">
        <f>'Rev-Capacity'!AO12*Inputs!$D$34</f>
        <v/>
      </c>
      <c r="AP18" s="42">
        <f>'Rev-Capacity'!AP12*Inputs!$D$34</f>
        <v/>
      </c>
      <c r="AQ18" s="42">
        <f>'Rev-Capacity'!AQ12*Inputs!$D$34</f>
        <v/>
      </c>
      <c r="AR18" s="42">
        <f>'Rev-Capacity'!AR12*Inputs!$D$34</f>
        <v/>
      </c>
      <c r="AS18" s="42">
        <f>'Rev-Capacity'!AS12*Inputs!$D$34</f>
        <v/>
      </c>
      <c r="AT18" s="42">
        <f>'Rev-Capacity'!AT12*Inputs!$D$34</f>
        <v/>
      </c>
      <c r="AU18" s="42">
        <f>'Rev-Capacity'!AU12*Inputs!$D$34</f>
        <v/>
      </c>
      <c r="AV18" s="42">
        <f>'Rev-Capacity'!AV12*Inputs!$D$34</f>
        <v/>
      </c>
      <c r="AW18" s="42">
        <f>'Rev-Capacity'!AW12*Inputs!$D$34</f>
        <v/>
      </c>
      <c r="AX18" s="42">
        <f>'Rev-Capacity'!AX12*Inputs!$D$34</f>
        <v/>
      </c>
      <c r="AY18" s="42">
        <f>'Rev-Capacity'!AY12*Inputs!$D$34</f>
        <v/>
      </c>
      <c r="AZ18" s="42">
        <f>'Rev-Capacity'!AZ12*Inputs!$D$34</f>
        <v/>
      </c>
      <c r="BA18" s="42">
        <f>'Rev-Capacity'!BA12*Inputs!$D$34</f>
        <v/>
      </c>
      <c r="BB18" s="42">
        <f>'Rev-Capacity'!BB12*Inputs!$D$34</f>
        <v/>
      </c>
      <c r="BC18" s="42">
        <f>'Rev-Capacity'!BC12*Inputs!$D$34</f>
        <v/>
      </c>
      <c r="BD18" s="42">
        <f>'Rev-Capacity'!BD12*Inputs!$D$34</f>
        <v/>
      </c>
      <c r="BE18" s="42">
        <f>'Rev-Capacity'!BE12*Inputs!$D$34</f>
        <v/>
      </c>
      <c r="BF18" s="42">
        <f>'Rev-Capacity'!BF12*Inputs!$D$34</f>
        <v/>
      </c>
      <c r="BG18" s="42">
        <f>'Rev-Capacity'!BG12*Inputs!$D$34</f>
        <v/>
      </c>
      <c r="BH18" s="42">
        <f>'Rev-Capacity'!BH12*Inputs!$D$34</f>
        <v/>
      </c>
      <c r="BI18" s="42">
        <f>'Rev-Capacity'!BI12*Inputs!$D$34</f>
        <v/>
      </c>
      <c r="BJ18" s="42">
        <f>'Rev-Capacity'!BJ12*Inputs!$D$34</f>
        <v/>
      </c>
      <c r="BK18" s="42">
        <f>'Rev-Capacity'!BK12*Inputs!$D$34</f>
        <v/>
      </c>
    </row>
    <row r="19">
      <c r="B19" s="29" t="inlineStr">
        <is>
          <t xml:space="preserve">    Sales and marketing headcount</t>
        </is>
      </c>
      <c r="C19" s="19" t="inlineStr">
        <is>
          <t>#</t>
        </is>
      </c>
      <c r="D19" s="45">
        <f>'Rev-Capacity'!D12+D15+D16+D17+D18</f>
        <v/>
      </c>
      <c r="E19" s="45">
        <f>'Rev-Capacity'!E12+E15+E16+E17+E18</f>
        <v/>
      </c>
      <c r="F19" s="45">
        <f>'Rev-Capacity'!F12+F15+F16+F17+F18</f>
        <v/>
      </c>
      <c r="G19" s="45">
        <f>'Rev-Capacity'!G12+G15+G16+G17+G18</f>
        <v/>
      </c>
      <c r="H19" s="45">
        <f>'Rev-Capacity'!H12+H15+H16+H17+H18</f>
        <v/>
      </c>
      <c r="I19" s="45">
        <f>'Rev-Capacity'!I12+I15+I16+I17+I18</f>
        <v/>
      </c>
      <c r="J19" s="45">
        <f>'Rev-Capacity'!J12+J15+J16+J17+J18</f>
        <v/>
      </c>
      <c r="K19" s="45">
        <f>'Rev-Capacity'!K12+K15+K16+K17+K18</f>
        <v/>
      </c>
      <c r="L19" s="45">
        <f>'Rev-Capacity'!L12+L15+L16+L17+L18</f>
        <v/>
      </c>
      <c r="M19" s="45">
        <f>'Rev-Capacity'!M12+M15+M16+M17+M18</f>
        <v/>
      </c>
      <c r="N19" s="45">
        <f>'Rev-Capacity'!N12+N15+N16+N17+N18</f>
        <v/>
      </c>
      <c r="O19" s="45">
        <f>'Rev-Capacity'!O12+O15+O16+O17+O18</f>
        <v/>
      </c>
      <c r="P19" s="45">
        <f>'Rev-Capacity'!P12+P15+P16+P17+P18</f>
        <v/>
      </c>
      <c r="Q19" s="45">
        <f>'Rev-Capacity'!Q12+Q15+Q16+Q17+Q18</f>
        <v/>
      </c>
      <c r="R19" s="45">
        <f>'Rev-Capacity'!R12+R15+R16+R17+R18</f>
        <v/>
      </c>
      <c r="S19" s="45">
        <f>'Rev-Capacity'!S12+S15+S16+S17+S18</f>
        <v/>
      </c>
      <c r="T19" s="45">
        <f>'Rev-Capacity'!T12+T15+T16+T17+T18</f>
        <v/>
      </c>
      <c r="U19" s="45">
        <f>'Rev-Capacity'!U12+U15+U16+U17+U18</f>
        <v/>
      </c>
      <c r="V19" s="45">
        <f>'Rev-Capacity'!V12+V15+V16+V17+V18</f>
        <v/>
      </c>
      <c r="W19" s="45">
        <f>'Rev-Capacity'!W12+W15+W16+W17+W18</f>
        <v/>
      </c>
      <c r="X19" s="45">
        <f>'Rev-Capacity'!X12+X15+X16+X17+X18</f>
        <v/>
      </c>
      <c r="Y19" s="45">
        <f>'Rev-Capacity'!Y12+Y15+Y16+Y17+Y18</f>
        <v/>
      </c>
      <c r="Z19" s="45">
        <f>'Rev-Capacity'!Z12+Z15+Z16+Z17+Z18</f>
        <v/>
      </c>
      <c r="AA19" s="45">
        <f>'Rev-Capacity'!AA12+AA15+AA16+AA17+AA18</f>
        <v/>
      </c>
      <c r="AB19" s="45">
        <f>'Rev-Capacity'!AB12+AB15+AB16+AB17+AB18</f>
        <v/>
      </c>
      <c r="AC19" s="45">
        <f>'Rev-Capacity'!AC12+AC15+AC16+AC17+AC18</f>
        <v/>
      </c>
      <c r="AD19" s="45">
        <f>'Rev-Capacity'!AD12+AD15+AD16+AD17+AD18</f>
        <v/>
      </c>
      <c r="AE19" s="45">
        <f>'Rev-Capacity'!AE12+AE15+AE16+AE17+AE18</f>
        <v/>
      </c>
      <c r="AF19" s="45">
        <f>'Rev-Capacity'!AF12+AF15+AF16+AF17+AF18</f>
        <v/>
      </c>
      <c r="AG19" s="45">
        <f>'Rev-Capacity'!AG12+AG15+AG16+AG17+AG18</f>
        <v/>
      </c>
      <c r="AH19" s="45">
        <f>'Rev-Capacity'!AH12+AH15+AH16+AH17+AH18</f>
        <v/>
      </c>
      <c r="AI19" s="45">
        <f>'Rev-Capacity'!AI12+AI15+AI16+AI17+AI18</f>
        <v/>
      </c>
      <c r="AJ19" s="45">
        <f>'Rev-Capacity'!AJ12+AJ15+AJ16+AJ17+AJ18</f>
        <v/>
      </c>
      <c r="AK19" s="45">
        <f>'Rev-Capacity'!AK12+AK15+AK16+AK17+AK18</f>
        <v/>
      </c>
      <c r="AL19" s="45">
        <f>'Rev-Capacity'!AL12+AL15+AL16+AL17+AL18</f>
        <v/>
      </c>
      <c r="AM19" s="45">
        <f>'Rev-Capacity'!AM12+AM15+AM16+AM17+AM18</f>
        <v/>
      </c>
      <c r="AN19" s="45">
        <f>'Rev-Capacity'!AN12+AN15+AN16+AN17+AN18</f>
        <v/>
      </c>
      <c r="AO19" s="45">
        <f>'Rev-Capacity'!AO12+AO15+AO16+AO17+AO18</f>
        <v/>
      </c>
      <c r="AP19" s="45">
        <f>'Rev-Capacity'!AP12+AP15+AP16+AP17+AP18</f>
        <v/>
      </c>
      <c r="AQ19" s="45">
        <f>'Rev-Capacity'!AQ12+AQ15+AQ16+AQ17+AQ18</f>
        <v/>
      </c>
      <c r="AR19" s="45">
        <f>'Rev-Capacity'!AR12+AR15+AR16+AR17+AR18</f>
        <v/>
      </c>
      <c r="AS19" s="45">
        <f>'Rev-Capacity'!AS12+AS15+AS16+AS17+AS18</f>
        <v/>
      </c>
      <c r="AT19" s="45">
        <f>'Rev-Capacity'!AT12+AT15+AT16+AT17+AT18</f>
        <v/>
      </c>
      <c r="AU19" s="45">
        <f>'Rev-Capacity'!AU12+AU15+AU16+AU17+AU18</f>
        <v/>
      </c>
      <c r="AV19" s="45">
        <f>'Rev-Capacity'!AV12+AV15+AV16+AV17+AV18</f>
        <v/>
      </c>
      <c r="AW19" s="45">
        <f>'Rev-Capacity'!AW12+AW15+AW16+AW17+AW18</f>
        <v/>
      </c>
      <c r="AX19" s="45">
        <f>'Rev-Capacity'!AX12+AX15+AX16+AX17+AX18</f>
        <v/>
      </c>
      <c r="AY19" s="45">
        <f>'Rev-Capacity'!AY12+AY15+AY16+AY17+AY18</f>
        <v/>
      </c>
      <c r="AZ19" s="45">
        <f>'Rev-Capacity'!AZ12+AZ15+AZ16+AZ17+AZ18</f>
        <v/>
      </c>
      <c r="BA19" s="45">
        <f>'Rev-Capacity'!BA12+BA15+BA16+BA17+BA18</f>
        <v/>
      </c>
      <c r="BB19" s="45">
        <f>'Rev-Capacity'!BB12+BB15+BB16+BB17+BB18</f>
        <v/>
      </c>
      <c r="BC19" s="45">
        <f>'Rev-Capacity'!BC12+BC15+BC16+BC17+BC18</f>
        <v/>
      </c>
      <c r="BD19" s="45">
        <f>'Rev-Capacity'!BD12+BD15+BD16+BD17+BD18</f>
        <v/>
      </c>
      <c r="BE19" s="45">
        <f>'Rev-Capacity'!BE12+BE15+BE16+BE17+BE18</f>
        <v/>
      </c>
      <c r="BF19" s="45">
        <f>'Rev-Capacity'!BF12+BF15+BF16+BF17+BF18</f>
        <v/>
      </c>
      <c r="BG19" s="45">
        <f>'Rev-Capacity'!BG12+BG15+BG16+BG17+BG18</f>
        <v/>
      </c>
      <c r="BH19" s="45">
        <f>'Rev-Capacity'!BH12+BH15+BH16+BH17+BH18</f>
        <v/>
      </c>
      <c r="BI19" s="45">
        <f>'Rev-Capacity'!BI12+BI15+BI16+BI17+BI18</f>
        <v/>
      </c>
      <c r="BJ19" s="45">
        <f>'Rev-Capacity'!BJ12+BJ15+BJ16+BJ17+BJ18</f>
        <v/>
      </c>
      <c r="BK19" s="45">
        <f>'Rev-Capacity'!BK12+BK15+BK16+BK17+BK18</f>
        <v/>
      </c>
      <c r="BM19" s="43">
        <f>O19</f>
        <v/>
      </c>
      <c r="BN19" s="43">
        <f>AA19</f>
        <v/>
      </c>
      <c r="BO19" s="43">
        <f>AM19</f>
        <v/>
      </c>
      <c r="BP19" s="43">
        <f>AY19</f>
        <v/>
      </c>
      <c r="BQ19" s="43">
        <f>BK19</f>
        <v/>
      </c>
    </row>
    <row r="20">
      <c r="B20" s="29" t="inlineStr">
        <is>
          <t xml:space="preserve">    Total headcount</t>
        </is>
      </c>
      <c r="C20" s="19" t="inlineStr">
        <is>
          <t>#</t>
        </is>
      </c>
      <c r="D20" s="45">
        <f>D11+D13+D14+D19</f>
        <v/>
      </c>
      <c r="E20" s="45">
        <f>E11+E13+E14+E19</f>
        <v/>
      </c>
      <c r="F20" s="45">
        <f>F11+F13+F14+F19</f>
        <v/>
      </c>
      <c r="G20" s="45">
        <f>G11+G13+G14+G19</f>
        <v/>
      </c>
      <c r="H20" s="45">
        <f>H11+H13+H14+H19</f>
        <v/>
      </c>
      <c r="I20" s="45">
        <f>I11+I13+I14+I19</f>
        <v/>
      </c>
      <c r="J20" s="45">
        <f>J11+J13+J14+J19</f>
        <v/>
      </c>
      <c r="K20" s="45">
        <f>K11+K13+K14+K19</f>
        <v/>
      </c>
      <c r="L20" s="45">
        <f>L11+L13+L14+L19</f>
        <v/>
      </c>
      <c r="M20" s="45">
        <f>M11+M13+M14+M19</f>
        <v/>
      </c>
      <c r="N20" s="45">
        <f>N11+N13+N14+N19</f>
        <v/>
      </c>
      <c r="O20" s="45">
        <f>O11+O13+O14+O19</f>
        <v/>
      </c>
      <c r="P20" s="45">
        <f>P11+P13+P14+P19</f>
        <v/>
      </c>
      <c r="Q20" s="45">
        <f>Q11+Q13+Q14+Q19</f>
        <v/>
      </c>
      <c r="R20" s="45">
        <f>R11+R13+R14+R19</f>
        <v/>
      </c>
      <c r="S20" s="45">
        <f>S11+S13+S14+S19</f>
        <v/>
      </c>
      <c r="T20" s="45">
        <f>T11+T13+T14+T19</f>
        <v/>
      </c>
      <c r="U20" s="45">
        <f>U11+U13+U14+U19</f>
        <v/>
      </c>
      <c r="V20" s="45">
        <f>V11+V13+V14+V19</f>
        <v/>
      </c>
      <c r="W20" s="45">
        <f>W11+W13+W14+W19</f>
        <v/>
      </c>
      <c r="X20" s="45">
        <f>X11+X13+X14+X19</f>
        <v/>
      </c>
      <c r="Y20" s="45">
        <f>Y11+Y13+Y14+Y19</f>
        <v/>
      </c>
      <c r="Z20" s="45">
        <f>Z11+Z13+Z14+Z19</f>
        <v/>
      </c>
      <c r="AA20" s="45">
        <f>AA11+AA13+AA14+AA19</f>
        <v/>
      </c>
      <c r="AB20" s="45">
        <f>AB11+AB13+AB14+AB19</f>
        <v/>
      </c>
      <c r="AC20" s="45">
        <f>AC11+AC13+AC14+AC19</f>
        <v/>
      </c>
      <c r="AD20" s="45">
        <f>AD11+AD13+AD14+AD19</f>
        <v/>
      </c>
      <c r="AE20" s="45">
        <f>AE11+AE13+AE14+AE19</f>
        <v/>
      </c>
      <c r="AF20" s="45">
        <f>AF11+AF13+AF14+AF19</f>
        <v/>
      </c>
      <c r="AG20" s="45">
        <f>AG11+AG13+AG14+AG19</f>
        <v/>
      </c>
      <c r="AH20" s="45">
        <f>AH11+AH13+AH14+AH19</f>
        <v/>
      </c>
      <c r="AI20" s="45">
        <f>AI11+AI13+AI14+AI19</f>
        <v/>
      </c>
      <c r="AJ20" s="45">
        <f>AJ11+AJ13+AJ14+AJ19</f>
        <v/>
      </c>
      <c r="AK20" s="45">
        <f>AK11+AK13+AK14+AK19</f>
        <v/>
      </c>
      <c r="AL20" s="45">
        <f>AL11+AL13+AL14+AL19</f>
        <v/>
      </c>
      <c r="AM20" s="45">
        <f>AM11+AM13+AM14+AM19</f>
        <v/>
      </c>
      <c r="AN20" s="45">
        <f>AN11+AN13+AN14+AN19</f>
        <v/>
      </c>
      <c r="AO20" s="45">
        <f>AO11+AO13+AO14+AO19</f>
        <v/>
      </c>
      <c r="AP20" s="45">
        <f>AP11+AP13+AP14+AP19</f>
        <v/>
      </c>
      <c r="AQ20" s="45">
        <f>AQ11+AQ13+AQ14+AQ19</f>
        <v/>
      </c>
      <c r="AR20" s="45">
        <f>AR11+AR13+AR14+AR19</f>
        <v/>
      </c>
      <c r="AS20" s="45">
        <f>AS11+AS13+AS14+AS19</f>
        <v/>
      </c>
      <c r="AT20" s="45">
        <f>AT11+AT13+AT14+AT19</f>
        <v/>
      </c>
      <c r="AU20" s="45">
        <f>AU11+AU13+AU14+AU19</f>
        <v/>
      </c>
      <c r="AV20" s="45">
        <f>AV11+AV13+AV14+AV19</f>
        <v/>
      </c>
      <c r="AW20" s="45">
        <f>AW11+AW13+AW14+AW19</f>
        <v/>
      </c>
      <c r="AX20" s="45">
        <f>AX11+AX13+AX14+AX19</f>
        <v/>
      </c>
      <c r="AY20" s="45">
        <f>AY11+AY13+AY14+AY19</f>
        <v/>
      </c>
      <c r="AZ20" s="45">
        <f>AZ11+AZ13+AZ14+AZ19</f>
        <v/>
      </c>
      <c r="BA20" s="45">
        <f>BA11+BA13+BA14+BA19</f>
        <v/>
      </c>
      <c r="BB20" s="45">
        <f>BB11+BB13+BB14+BB19</f>
        <v/>
      </c>
      <c r="BC20" s="45">
        <f>BC11+BC13+BC14+BC19</f>
        <v/>
      </c>
      <c r="BD20" s="45">
        <f>BD11+BD13+BD14+BD19</f>
        <v/>
      </c>
      <c r="BE20" s="45">
        <f>BE11+BE13+BE14+BE19</f>
        <v/>
      </c>
      <c r="BF20" s="45">
        <f>BF11+BF13+BF14+BF19</f>
        <v/>
      </c>
      <c r="BG20" s="45">
        <f>BG11+BG13+BG14+BG19</f>
        <v/>
      </c>
      <c r="BH20" s="45">
        <f>BH11+BH13+BH14+BH19</f>
        <v/>
      </c>
      <c r="BI20" s="45">
        <f>BI11+BI13+BI14+BI19</f>
        <v/>
      </c>
      <c r="BJ20" s="45">
        <f>BJ11+BJ13+BJ14+BJ19</f>
        <v/>
      </c>
      <c r="BK20" s="45">
        <f>BK11+BK13+BK14+BK19</f>
        <v/>
      </c>
      <c r="BM20" s="43">
        <f>O20</f>
        <v/>
      </c>
      <c r="BN20" s="43">
        <f>AA20</f>
        <v/>
      </c>
      <c r="BO20" s="43">
        <f>AM20</f>
        <v/>
      </c>
      <c r="BP20" s="43">
        <f>AY20</f>
        <v/>
      </c>
      <c r="BQ20" s="43">
        <f>BK20</f>
        <v/>
      </c>
    </row>
    <row r="21">
      <c r="B21" s="18" t="inlineStr">
        <is>
          <t xml:space="preserve">    Gross hires including backfill</t>
        </is>
      </c>
      <c r="C21" s="19" t="inlineStr">
        <is>
          <t>#</t>
        </is>
      </c>
      <c r="D21" s="44">
        <f>D10+D12+'Rev-Capacity'!D10+(Inputs!$D$128+Inputs!$D$131)*Inputs!$D$141/12+'Rev-Capacity'!D11</f>
        <v/>
      </c>
      <c r="E21" s="44">
        <f>E10+E12+'Rev-Capacity'!E10+(D11+D13)*Inputs!$D$141/12+'Rev-Capacity'!E11</f>
        <v/>
      </c>
      <c r="F21" s="44">
        <f>F10+F12+'Rev-Capacity'!F10+(E11+E13)*Inputs!$D$141/12+'Rev-Capacity'!F11</f>
        <v/>
      </c>
      <c r="G21" s="44">
        <f>G10+G12+'Rev-Capacity'!G10+(F11+F13)*Inputs!$D$141/12+'Rev-Capacity'!G11</f>
        <v/>
      </c>
      <c r="H21" s="44">
        <f>H10+H12+'Rev-Capacity'!H10+(G11+G13)*Inputs!$D$141/12+'Rev-Capacity'!H11</f>
        <v/>
      </c>
      <c r="I21" s="44">
        <f>I10+I12+'Rev-Capacity'!I10+(H11+H13)*Inputs!$D$141/12+'Rev-Capacity'!I11</f>
        <v/>
      </c>
      <c r="J21" s="44">
        <f>J10+J12+'Rev-Capacity'!J10+(I11+I13)*Inputs!$D$141/12+'Rev-Capacity'!J11</f>
        <v/>
      </c>
      <c r="K21" s="44">
        <f>K10+K12+'Rev-Capacity'!K10+(J11+J13)*Inputs!$D$141/12+'Rev-Capacity'!K11</f>
        <v/>
      </c>
      <c r="L21" s="44">
        <f>L10+L12+'Rev-Capacity'!L10+(K11+K13)*Inputs!$D$141/12+'Rev-Capacity'!L11</f>
        <v/>
      </c>
      <c r="M21" s="44">
        <f>M10+M12+'Rev-Capacity'!M10+(L11+L13)*Inputs!$D$141/12+'Rev-Capacity'!M11</f>
        <v/>
      </c>
      <c r="N21" s="44">
        <f>N10+N12+'Rev-Capacity'!N10+(M11+M13)*Inputs!$D$141/12+'Rev-Capacity'!N11</f>
        <v/>
      </c>
      <c r="O21" s="44">
        <f>O10+O12+'Rev-Capacity'!O10+(N11+N13)*Inputs!$D$141/12+'Rev-Capacity'!O11</f>
        <v/>
      </c>
      <c r="P21" s="44">
        <f>P10+P12+'Rev-Capacity'!P10+(O11+O13)*Inputs!$D$141/12+'Rev-Capacity'!P11</f>
        <v/>
      </c>
      <c r="Q21" s="44">
        <f>Q10+Q12+'Rev-Capacity'!Q10+(P11+P13)*Inputs!$D$141/12+'Rev-Capacity'!Q11</f>
        <v/>
      </c>
      <c r="R21" s="44">
        <f>R10+R12+'Rev-Capacity'!R10+(Q11+Q13)*Inputs!$D$141/12+'Rev-Capacity'!R11</f>
        <v/>
      </c>
      <c r="S21" s="44">
        <f>S10+S12+'Rev-Capacity'!S10+(R11+R13)*Inputs!$D$141/12+'Rev-Capacity'!S11</f>
        <v/>
      </c>
      <c r="T21" s="44">
        <f>T10+T12+'Rev-Capacity'!T10+(S11+S13)*Inputs!$D$141/12+'Rev-Capacity'!T11</f>
        <v/>
      </c>
      <c r="U21" s="44">
        <f>U10+U12+'Rev-Capacity'!U10+(T11+T13)*Inputs!$D$141/12+'Rev-Capacity'!U11</f>
        <v/>
      </c>
      <c r="V21" s="44">
        <f>V10+V12+'Rev-Capacity'!V10+(U11+U13)*Inputs!$D$141/12+'Rev-Capacity'!V11</f>
        <v/>
      </c>
      <c r="W21" s="44">
        <f>W10+W12+'Rev-Capacity'!W10+(V11+V13)*Inputs!$D$141/12+'Rev-Capacity'!W11</f>
        <v/>
      </c>
      <c r="X21" s="44">
        <f>X10+X12+'Rev-Capacity'!X10+(W11+W13)*Inputs!$D$141/12+'Rev-Capacity'!X11</f>
        <v/>
      </c>
      <c r="Y21" s="44">
        <f>Y10+Y12+'Rev-Capacity'!Y10+(X11+X13)*Inputs!$D$141/12+'Rev-Capacity'!Y11</f>
        <v/>
      </c>
      <c r="Z21" s="44">
        <f>Z10+Z12+'Rev-Capacity'!Z10+(Y11+Y13)*Inputs!$D$141/12+'Rev-Capacity'!Z11</f>
        <v/>
      </c>
      <c r="AA21" s="44">
        <f>AA10+AA12+'Rev-Capacity'!AA10+(Z11+Z13)*Inputs!$D$141/12+'Rev-Capacity'!AA11</f>
        <v/>
      </c>
      <c r="AB21" s="44">
        <f>AB10+AB12+'Rev-Capacity'!AB10+(AA11+AA13)*Inputs!$D$141/12+'Rev-Capacity'!AB11</f>
        <v/>
      </c>
      <c r="AC21" s="44">
        <f>AC10+AC12+'Rev-Capacity'!AC10+(AB11+AB13)*Inputs!$D$141/12+'Rev-Capacity'!AC11</f>
        <v/>
      </c>
      <c r="AD21" s="44">
        <f>AD10+AD12+'Rev-Capacity'!AD10+(AC11+AC13)*Inputs!$D$141/12+'Rev-Capacity'!AD11</f>
        <v/>
      </c>
      <c r="AE21" s="44">
        <f>AE10+AE12+'Rev-Capacity'!AE10+(AD11+AD13)*Inputs!$D$141/12+'Rev-Capacity'!AE11</f>
        <v/>
      </c>
      <c r="AF21" s="44">
        <f>AF10+AF12+'Rev-Capacity'!AF10+(AE11+AE13)*Inputs!$D$141/12+'Rev-Capacity'!AF11</f>
        <v/>
      </c>
      <c r="AG21" s="44">
        <f>AG10+AG12+'Rev-Capacity'!AG10+(AF11+AF13)*Inputs!$D$141/12+'Rev-Capacity'!AG11</f>
        <v/>
      </c>
      <c r="AH21" s="44">
        <f>AH10+AH12+'Rev-Capacity'!AH10+(AG11+AG13)*Inputs!$D$141/12+'Rev-Capacity'!AH11</f>
        <v/>
      </c>
      <c r="AI21" s="44">
        <f>AI10+AI12+'Rev-Capacity'!AI10+(AH11+AH13)*Inputs!$D$141/12+'Rev-Capacity'!AI11</f>
        <v/>
      </c>
      <c r="AJ21" s="44">
        <f>AJ10+AJ12+'Rev-Capacity'!AJ10+(AI11+AI13)*Inputs!$D$141/12+'Rev-Capacity'!AJ11</f>
        <v/>
      </c>
      <c r="AK21" s="44">
        <f>AK10+AK12+'Rev-Capacity'!AK10+(AJ11+AJ13)*Inputs!$D$141/12+'Rev-Capacity'!AK11</f>
        <v/>
      </c>
      <c r="AL21" s="44">
        <f>AL10+AL12+'Rev-Capacity'!AL10+(AK11+AK13)*Inputs!$D$141/12+'Rev-Capacity'!AL11</f>
        <v/>
      </c>
      <c r="AM21" s="44">
        <f>AM10+AM12+'Rev-Capacity'!AM10+(AL11+AL13)*Inputs!$D$141/12+'Rev-Capacity'!AM11</f>
        <v/>
      </c>
      <c r="AN21" s="44">
        <f>AN10+AN12+'Rev-Capacity'!AN10+(AM11+AM13)*Inputs!$D$141/12+'Rev-Capacity'!AN11</f>
        <v/>
      </c>
      <c r="AO21" s="44">
        <f>AO10+AO12+'Rev-Capacity'!AO10+(AN11+AN13)*Inputs!$D$141/12+'Rev-Capacity'!AO11</f>
        <v/>
      </c>
      <c r="AP21" s="44">
        <f>AP10+AP12+'Rev-Capacity'!AP10+(AO11+AO13)*Inputs!$D$141/12+'Rev-Capacity'!AP11</f>
        <v/>
      </c>
      <c r="AQ21" s="44">
        <f>AQ10+AQ12+'Rev-Capacity'!AQ10+(AP11+AP13)*Inputs!$D$141/12+'Rev-Capacity'!AQ11</f>
        <v/>
      </c>
      <c r="AR21" s="44">
        <f>AR10+AR12+'Rev-Capacity'!AR10+(AQ11+AQ13)*Inputs!$D$141/12+'Rev-Capacity'!AR11</f>
        <v/>
      </c>
      <c r="AS21" s="44">
        <f>AS10+AS12+'Rev-Capacity'!AS10+(AR11+AR13)*Inputs!$D$141/12+'Rev-Capacity'!AS11</f>
        <v/>
      </c>
      <c r="AT21" s="44">
        <f>AT10+AT12+'Rev-Capacity'!AT10+(AS11+AS13)*Inputs!$D$141/12+'Rev-Capacity'!AT11</f>
        <v/>
      </c>
      <c r="AU21" s="44">
        <f>AU10+AU12+'Rev-Capacity'!AU10+(AT11+AT13)*Inputs!$D$141/12+'Rev-Capacity'!AU11</f>
        <v/>
      </c>
      <c r="AV21" s="44">
        <f>AV10+AV12+'Rev-Capacity'!AV10+(AU11+AU13)*Inputs!$D$141/12+'Rev-Capacity'!AV11</f>
        <v/>
      </c>
      <c r="AW21" s="44">
        <f>AW10+AW12+'Rev-Capacity'!AW10+(AV11+AV13)*Inputs!$D$141/12+'Rev-Capacity'!AW11</f>
        <v/>
      </c>
      <c r="AX21" s="44">
        <f>AX10+AX12+'Rev-Capacity'!AX10+(AW11+AW13)*Inputs!$D$141/12+'Rev-Capacity'!AX11</f>
        <v/>
      </c>
      <c r="AY21" s="44">
        <f>AY10+AY12+'Rev-Capacity'!AY10+(AX11+AX13)*Inputs!$D$141/12+'Rev-Capacity'!AY11</f>
        <v/>
      </c>
      <c r="AZ21" s="44">
        <f>AZ10+AZ12+'Rev-Capacity'!AZ10+(AY11+AY13)*Inputs!$D$141/12+'Rev-Capacity'!AZ11</f>
        <v/>
      </c>
      <c r="BA21" s="44">
        <f>BA10+BA12+'Rev-Capacity'!BA10+(AZ11+AZ13)*Inputs!$D$141/12+'Rev-Capacity'!BA11</f>
        <v/>
      </c>
      <c r="BB21" s="44">
        <f>BB10+BB12+'Rev-Capacity'!BB10+(BA11+BA13)*Inputs!$D$141/12+'Rev-Capacity'!BB11</f>
        <v/>
      </c>
      <c r="BC21" s="44">
        <f>BC10+BC12+'Rev-Capacity'!BC10+(BB11+BB13)*Inputs!$D$141/12+'Rev-Capacity'!BC11</f>
        <v/>
      </c>
      <c r="BD21" s="44">
        <f>BD10+BD12+'Rev-Capacity'!BD10+(BC11+BC13)*Inputs!$D$141/12+'Rev-Capacity'!BD11</f>
        <v/>
      </c>
      <c r="BE21" s="44">
        <f>BE10+BE12+'Rev-Capacity'!BE10+(BD11+BD13)*Inputs!$D$141/12+'Rev-Capacity'!BE11</f>
        <v/>
      </c>
      <c r="BF21" s="44">
        <f>BF10+BF12+'Rev-Capacity'!BF10+(BE11+BE13)*Inputs!$D$141/12+'Rev-Capacity'!BF11</f>
        <v/>
      </c>
      <c r="BG21" s="44">
        <f>BG10+BG12+'Rev-Capacity'!BG10+(BF11+BF13)*Inputs!$D$141/12+'Rev-Capacity'!BG11</f>
        <v/>
      </c>
      <c r="BH21" s="44">
        <f>BH10+BH12+'Rev-Capacity'!BH10+(BG11+BG13)*Inputs!$D$141/12+'Rev-Capacity'!BH11</f>
        <v/>
      </c>
      <c r="BI21" s="44">
        <f>BI10+BI12+'Rev-Capacity'!BI10+(BH11+BH13)*Inputs!$D$141/12+'Rev-Capacity'!BI11</f>
        <v/>
      </c>
      <c r="BJ21" s="44">
        <f>BJ10+BJ12+'Rev-Capacity'!BJ10+(BI11+BI13)*Inputs!$D$141/12+'Rev-Capacity'!BJ11</f>
        <v/>
      </c>
      <c r="BK21" s="44">
        <f>BK10+BK12+'Rev-Capacity'!BK10+(BJ11+BJ13)*Inputs!$D$141/12+'Rev-Capacity'!BK11</f>
        <v/>
      </c>
      <c r="BM21" s="43">
        <f>SUM(D21:O21)</f>
        <v/>
      </c>
      <c r="BN21" s="43">
        <f>SUM(P21:AA21)</f>
        <v/>
      </c>
      <c r="BO21" s="43">
        <f>SUM(AB21:AM21)</f>
        <v/>
      </c>
      <c r="BP21" s="43">
        <f>SUM(AN21:AY21)</f>
        <v/>
      </c>
      <c r="BQ21" s="43">
        <f>SUM(AZ21:BK21)</f>
        <v/>
      </c>
    </row>
    <row r="22"/>
    <row r="23">
      <c r="B23" s="3" t="inlineStr">
        <is>
          <t>PAYROLL</t>
        </is>
      </c>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c r="BB23" s="4" t="n"/>
      <c r="BC23" s="4" t="n"/>
      <c r="BD23" s="4" t="n"/>
      <c r="BE23" s="4" t="n"/>
      <c r="BF23" s="4" t="n"/>
      <c r="BG23" s="4" t="n"/>
      <c r="BH23" s="4" t="n"/>
      <c r="BI23" s="4" t="n"/>
      <c r="BJ23" s="4" t="n"/>
      <c r="BK23" s="4" t="n"/>
      <c r="BL23" s="4" t="n"/>
      <c r="BM23" s="4" t="n"/>
      <c r="BN23" s="4" t="n"/>
      <c r="BO23" s="4" t="n"/>
      <c r="BP23" s="4" t="n"/>
      <c r="BQ23" s="4" t="n"/>
    </row>
    <row r="24">
      <c r="B24" s="18" t="inlineStr">
        <is>
          <t xml:space="preserve">    Compensation escalator</t>
        </is>
      </c>
      <c r="C24" s="19" t="inlineStr">
        <is>
          <t>x</t>
        </is>
      </c>
      <c r="D24" s="55">
        <f>(1+((1+Inputs!$D$139)^(1/12)-1))^0</f>
        <v/>
      </c>
      <c r="E24" s="55">
        <f>(1+((1+Inputs!$D$139)^(1/12)-1))^1</f>
        <v/>
      </c>
      <c r="F24" s="55">
        <f>(1+((1+Inputs!$D$139)^(1/12)-1))^2</f>
        <v/>
      </c>
      <c r="G24" s="55">
        <f>(1+((1+Inputs!$D$139)^(1/12)-1))^3</f>
        <v/>
      </c>
      <c r="H24" s="55">
        <f>(1+((1+Inputs!$D$139)^(1/12)-1))^4</f>
        <v/>
      </c>
      <c r="I24" s="55">
        <f>(1+((1+Inputs!$D$139)^(1/12)-1))^5</f>
        <v/>
      </c>
      <c r="J24" s="55">
        <f>(1+((1+Inputs!$D$139)^(1/12)-1))^6</f>
        <v/>
      </c>
      <c r="K24" s="55">
        <f>(1+((1+Inputs!$D$139)^(1/12)-1))^7</f>
        <v/>
      </c>
      <c r="L24" s="55">
        <f>(1+((1+Inputs!$D$139)^(1/12)-1))^8</f>
        <v/>
      </c>
      <c r="M24" s="55">
        <f>(1+((1+Inputs!$D$139)^(1/12)-1))^9</f>
        <v/>
      </c>
      <c r="N24" s="55">
        <f>(1+((1+Inputs!$D$139)^(1/12)-1))^10</f>
        <v/>
      </c>
      <c r="O24" s="55">
        <f>(1+((1+Inputs!$D$139)^(1/12)-1))^11</f>
        <v/>
      </c>
      <c r="P24" s="55">
        <f>(1+((1+Inputs!$D$139)^(1/12)-1))^12</f>
        <v/>
      </c>
      <c r="Q24" s="55">
        <f>(1+((1+Inputs!$D$139)^(1/12)-1))^13</f>
        <v/>
      </c>
      <c r="R24" s="55">
        <f>(1+((1+Inputs!$D$139)^(1/12)-1))^14</f>
        <v/>
      </c>
      <c r="S24" s="55">
        <f>(1+((1+Inputs!$D$139)^(1/12)-1))^15</f>
        <v/>
      </c>
      <c r="T24" s="55">
        <f>(1+((1+Inputs!$D$139)^(1/12)-1))^16</f>
        <v/>
      </c>
      <c r="U24" s="55">
        <f>(1+((1+Inputs!$D$139)^(1/12)-1))^17</f>
        <v/>
      </c>
      <c r="V24" s="55">
        <f>(1+((1+Inputs!$D$139)^(1/12)-1))^18</f>
        <v/>
      </c>
      <c r="W24" s="55">
        <f>(1+((1+Inputs!$D$139)^(1/12)-1))^19</f>
        <v/>
      </c>
      <c r="X24" s="55">
        <f>(1+((1+Inputs!$D$139)^(1/12)-1))^20</f>
        <v/>
      </c>
      <c r="Y24" s="55">
        <f>(1+((1+Inputs!$D$139)^(1/12)-1))^21</f>
        <v/>
      </c>
      <c r="Z24" s="55">
        <f>(1+((1+Inputs!$D$139)^(1/12)-1))^22</f>
        <v/>
      </c>
      <c r="AA24" s="55">
        <f>(1+((1+Inputs!$D$139)^(1/12)-1))^23</f>
        <v/>
      </c>
      <c r="AB24" s="55">
        <f>(1+((1+Inputs!$D$139)^(1/12)-1))^24</f>
        <v/>
      </c>
      <c r="AC24" s="55">
        <f>(1+((1+Inputs!$D$139)^(1/12)-1))^25</f>
        <v/>
      </c>
      <c r="AD24" s="55">
        <f>(1+((1+Inputs!$D$139)^(1/12)-1))^26</f>
        <v/>
      </c>
      <c r="AE24" s="55">
        <f>(1+((1+Inputs!$D$139)^(1/12)-1))^27</f>
        <v/>
      </c>
      <c r="AF24" s="55">
        <f>(1+((1+Inputs!$D$139)^(1/12)-1))^28</f>
        <v/>
      </c>
      <c r="AG24" s="55">
        <f>(1+((1+Inputs!$D$139)^(1/12)-1))^29</f>
        <v/>
      </c>
      <c r="AH24" s="55">
        <f>(1+((1+Inputs!$D$139)^(1/12)-1))^30</f>
        <v/>
      </c>
      <c r="AI24" s="55">
        <f>(1+((1+Inputs!$D$139)^(1/12)-1))^31</f>
        <v/>
      </c>
      <c r="AJ24" s="55">
        <f>(1+((1+Inputs!$D$139)^(1/12)-1))^32</f>
        <v/>
      </c>
      <c r="AK24" s="55">
        <f>(1+((1+Inputs!$D$139)^(1/12)-1))^33</f>
        <v/>
      </c>
      <c r="AL24" s="55">
        <f>(1+((1+Inputs!$D$139)^(1/12)-1))^34</f>
        <v/>
      </c>
      <c r="AM24" s="55">
        <f>(1+((1+Inputs!$D$139)^(1/12)-1))^35</f>
        <v/>
      </c>
      <c r="AN24" s="55">
        <f>(1+((1+Inputs!$D$139)^(1/12)-1))^36</f>
        <v/>
      </c>
      <c r="AO24" s="55">
        <f>(1+((1+Inputs!$D$139)^(1/12)-1))^37</f>
        <v/>
      </c>
      <c r="AP24" s="55">
        <f>(1+((1+Inputs!$D$139)^(1/12)-1))^38</f>
        <v/>
      </c>
      <c r="AQ24" s="55">
        <f>(1+((1+Inputs!$D$139)^(1/12)-1))^39</f>
        <v/>
      </c>
      <c r="AR24" s="55">
        <f>(1+((1+Inputs!$D$139)^(1/12)-1))^40</f>
        <v/>
      </c>
      <c r="AS24" s="55">
        <f>(1+((1+Inputs!$D$139)^(1/12)-1))^41</f>
        <v/>
      </c>
      <c r="AT24" s="55">
        <f>(1+((1+Inputs!$D$139)^(1/12)-1))^42</f>
        <v/>
      </c>
      <c r="AU24" s="55">
        <f>(1+((1+Inputs!$D$139)^(1/12)-1))^43</f>
        <v/>
      </c>
      <c r="AV24" s="55">
        <f>(1+((1+Inputs!$D$139)^(1/12)-1))^44</f>
        <v/>
      </c>
      <c r="AW24" s="55">
        <f>(1+((1+Inputs!$D$139)^(1/12)-1))^45</f>
        <v/>
      </c>
      <c r="AX24" s="55">
        <f>(1+((1+Inputs!$D$139)^(1/12)-1))^46</f>
        <v/>
      </c>
      <c r="AY24" s="55">
        <f>(1+((1+Inputs!$D$139)^(1/12)-1))^47</f>
        <v/>
      </c>
      <c r="AZ24" s="55">
        <f>(1+((1+Inputs!$D$139)^(1/12)-1))^48</f>
        <v/>
      </c>
      <c r="BA24" s="55">
        <f>(1+((1+Inputs!$D$139)^(1/12)-1))^49</f>
        <v/>
      </c>
      <c r="BB24" s="55">
        <f>(1+((1+Inputs!$D$139)^(1/12)-1))^50</f>
        <v/>
      </c>
      <c r="BC24" s="55">
        <f>(1+((1+Inputs!$D$139)^(1/12)-1))^51</f>
        <v/>
      </c>
      <c r="BD24" s="55">
        <f>(1+((1+Inputs!$D$139)^(1/12)-1))^52</f>
        <v/>
      </c>
      <c r="BE24" s="55">
        <f>(1+((1+Inputs!$D$139)^(1/12)-1))^53</f>
        <v/>
      </c>
      <c r="BF24" s="55">
        <f>(1+((1+Inputs!$D$139)^(1/12)-1))^54</f>
        <v/>
      </c>
      <c r="BG24" s="55">
        <f>(1+((1+Inputs!$D$139)^(1/12)-1))^55</f>
        <v/>
      </c>
      <c r="BH24" s="55">
        <f>(1+((1+Inputs!$D$139)^(1/12)-1))^56</f>
        <v/>
      </c>
      <c r="BI24" s="55">
        <f>(1+((1+Inputs!$D$139)^(1/12)-1))^57</f>
        <v/>
      </c>
      <c r="BJ24" s="55">
        <f>(1+((1+Inputs!$D$139)^(1/12)-1))^58</f>
        <v/>
      </c>
      <c r="BK24" s="55">
        <f>(1+((1+Inputs!$D$139)^(1/12)-1))^59</f>
        <v/>
      </c>
    </row>
    <row r="25">
      <c r="B25" s="18" t="inlineStr">
        <is>
          <t xml:space="preserve">    RND payroll</t>
        </is>
      </c>
      <c r="C25" s="19" t="inlineStr">
        <is>
          <t>$</t>
        </is>
      </c>
      <c r="D25" s="48">
        <f>D11*Inputs!$D$132/12*D24</f>
        <v/>
      </c>
      <c r="E25" s="48">
        <f>E11*Inputs!$D$132/12*E24</f>
        <v/>
      </c>
      <c r="F25" s="48">
        <f>F11*Inputs!$D$132/12*F24</f>
        <v/>
      </c>
      <c r="G25" s="48">
        <f>G11*Inputs!$D$132/12*G24</f>
        <v/>
      </c>
      <c r="H25" s="48">
        <f>H11*Inputs!$D$132/12*H24</f>
        <v/>
      </c>
      <c r="I25" s="48">
        <f>I11*Inputs!$D$132/12*I24</f>
        <v/>
      </c>
      <c r="J25" s="48">
        <f>J11*Inputs!$D$132/12*J24</f>
        <v/>
      </c>
      <c r="K25" s="48">
        <f>K11*Inputs!$D$132/12*K24</f>
        <v/>
      </c>
      <c r="L25" s="48">
        <f>L11*Inputs!$D$132/12*L24</f>
        <v/>
      </c>
      <c r="M25" s="48">
        <f>M11*Inputs!$D$132/12*M24</f>
        <v/>
      </c>
      <c r="N25" s="48">
        <f>N11*Inputs!$D$132/12*N24</f>
        <v/>
      </c>
      <c r="O25" s="48">
        <f>O11*Inputs!$D$132/12*O24</f>
        <v/>
      </c>
      <c r="P25" s="48">
        <f>P11*Inputs!$D$132/12*P24</f>
        <v/>
      </c>
      <c r="Q25" s="48">
        <f>Q11*Inputs!$D$132/12*Q24</f>
        <v/>
      </c>
      <c r="R25" s="48">
        <f>R11*Inputs!$D$132/12*R24</f>
        <v/>
      </c>
      <c r="S25" s="48">
        <f>S11*Inputs!$D$132/12*S24</f>
        <v/>
      </c>
      <c r="T25" s="48">
        <f>T11*Inputs!$D$132/12*T24</f>
        <v/>
      </c>
      <c r="U25" s="48">
        <f>U11*Inputs!$D$132/12*U24</f>
        <v/>
      </c>
      <c r="V25" s="48">
        <f>V11*Inputs!$D$132/12*V24</f>
        <v/>
      </c>
      <c r="W25" s="48">
        <f>W11*Inputs!$D$132/12*W24</f>
        <v/>
      </c>
      <c r="X25" s="48">
        <f>X11*Inputs!$D$132/12*X24</f>
        <v/>
      </c>
      <c r="Y25" s="48">
        <f>Y11*Inputs!$D$132/12*Y24</f>
        <v/>
      </c>
      <c r="Z25" s="48">
        <f>Z11*Inputs!$D$132/12*Z24</f>
        <v/>
      </c>
      <c r="AA25" s="48">
        <f>AA11*Inputs!$D$132/12*AA24</f>
        <v/>
      </c>
      <c r="AB25" s="48">
        <f>AB11*Inputs!$D$132/12*AB24</f>
        <v/>
      </c>
      <c r="AC25" s="48">
        <f>AC11*Inputs!$D$132/12*AC24</f>
        <v/>
      </c>
      <c r="AD25" s="48">
        <f>AD11*Inputs!$D$132/12*AD24</f>
        <v/>
      </c>
      <c r="AE25" s="48">
        <f>AE11*Inputs!$D$132/12*AE24</f>
        <v/>
      </c>
      <c r="AF25" s="48">
        <f>AF11*Inputs!$D$132/12*AF24</f>
        <v/>
      </c>
      <c r="AG25" s="48">
        <f>AG11*Inputs!$D$132/12*AG24</f>
        <v/>
      </c>
      <c r="AH25" s="48">
        <f>AH11*Inputs!$D$132/12*AH24</f>
        <v/>
      </c>
      <c r="AI25" s="48">
        <f>AI11*Inputs!$D$132/12*AI24</f>
        <v/>
      </c>
      <c r="AJ25" s="48">
        <f>AJ11*Inputs!$D$132/12*AJ24</f>
        <v/>
      </c>
      <c r="AK25" s="48">
        <f>AK11*Inputs!$D$132/12*AK24</f>
        <v/>
      </c>
      <c r="AL25" s="48">
        <f>AL11*Inputs!$D$132/12*AL24</f>
        <v/>
      </c>
      <c r="AM25" s="48">
        <f>AM11*Inputs!$D$132/12*AM24</f>
        <v/>
      </c>
      <c r="AN25" s="48">
        <f>AN11*Inputs!$D$132/12*AN24</f>
        <v/>
      </c>
      <c r="AO25" s="48">
        <f>AO11*Inputs!$D$132/12*AO24</f>
        <v/>
      </c>
      <c r="AP25" s="48">
        <f>AP11*Inputs!$D$132/12*AP24</f>
        <v/>
      </c>
      <c r="AQ25" s="48">
        <f>AQ11*Inputs!$D$132/12*AQ24</f>
        <v/>
      </c>
      <c r="AR25" s="48">
        <f>AR11*Inputs!$D$132/12*AR24</f>
        <v/>
      </c>
      <c r="AS25" s="48">
        <f>AS11*Inputs!$D$132/12*AS24</f>
        <v/>
      </c>
      <c r="AT25" s="48">
        <f>AT11*Inputs!$D$132/12*AT24</f>
        <v/>
      </c>
      <c r="AU25" s="48">
        <f>AU11*Inputs!$D$132/12*AU24</f>
        <v/>
      </c>
      <c r="AV25" s="48">
        <f>AV11*Inputs!$D$132/12*AV24</f>
        <v/>
      </c>
      <c r="AW25" s="48">
        <f>AW11*Inputs!$D$132/12*AW24</f>
        <v/>
      </c>
      <c r="AX25" s="48">
        <f>AX11*Inputs!$D$132/12*AX24</f>
        <v/>
      </c>
      <c r="AY25" s="48">
        <f>AY11*Inputs!$D$132/12*AY24</f>
        <v/>
      </c>
      <c r="AZ25" s="48">
        <f>AZ11*Inputs!$D$132/12*AZ24</f>
        <v/>
      </c>
      <c r="BA25" s="48">
        <f>BA11*Inputs!$D$132/12*BA24</f>
        <v/>
      </c>
      <c r="BB25" s="48">
        <f>BB11*Inputs!$D$132/12*BB24</f>
        <v/>
      </c>
      <c r="BC25" s="48">
        <f>BC11*Inputs!$D$132/12*BC24</f>
        <v/>
      </c>
      <c r="BD25" s="48">
        <f>BD11*Inputs!$D$132/12*BD24</f>
        <v/>
      </c>
      <c r="BE25" s="48">
        <f>BE11*Inputs!$D$132/12*BE24</f>
        <v/>
      </c>
      <c r="BF25" s="48">
        <f>BF11*Inputs!$D$132/12*BF24</f>
        <v/>
      </c>
      <c r="BG25" s="48">
        <f>BG11*Inputs!$D$132/12*BG24</f>
        <v/>
      </c>
      <c r="BH25" s="48">
        <f>BH11*Inputs!$D$132/12*BH24</f>
        <v/>
      </c>
      <c r="BI25" s="48">
        <f>BI11*Inputs!$D$132/12*BI24</f>
        <v/>
      </c>
      <c r="BJ25" s="48">
        <f>BJ11*Inputs!$D$132/12*BJ24</f>
        <v/>
      </c>
      <c r="BK25" s="48">
        <f>BK11*Inputs!$D$132/12*BK24</f>
        <v/>
      </c>
      <c r="BM25" s="91">
        <f>SUM(D25:O25)</f>
        <v/>
      </c>
      <c r="BN25" s="91">
        <f>SUM(P25:AA25)</f>
        <v/>
      </c>
      <c r="BO25" s="91">
        <f>SUM(AB25:AM25)</f>
        <v/>
      </c>
      <c r="BP25" s="91">
        <f>SUM(AN25:AY25)</f>
        <v/>
      </c>
      <c r="BQ25" s="91">
        <f>SUM(AZ25:BK25)</f>
        <v/>
      </c>
    </row>
    <row r="26">
      <c r="B26" s="18" t="inlineStr">
        <is>
          <t xml:space="preserve">    CS payroll</t>
        </is>
      </c>
      <c r="C26" s="19" t="inlineStr">
        <is>
          <t>$</t>
        </is>
      </c>
      <c r="D26" s="48">
        <f>D14*Inputs!$D$137/12*D24</f>
        <v/>
      </c>
      <c r="E26" s="48">
        <f>E14*Inputs!$D$137/12*E24</f>
        <v/>
      </c>
      <c r="F26" s="48">
        <f>F14*Inputs!$D$137/12*F24</f>
        <v/>
      </c>
      <c r="G26" s="48">
        <f>G14*Inputs!$D$137/12*G24</f>
        <v/>
      </c>
      <c r="H26" s="48">
        <f>H14*Inputs!$D$137/12*H24</f>
        <v/>
      </c>
      <c r="I26" s="48">
        <f>I14*Inputs!$D$137/12*I24</f>
        <v/>
      </c>
      <c r="J26" s="48">
        <f>J14*Inputs!$D$137/12*J24</f>
        <v/>
      </c>
      <c r="K26" s="48">
        <f>K14*Inputs!$D$137/12*K24</f>
        <v/>
      </c>
      <c r="L26" s="48">
        <f>L14*Inputs!$D$137/12*L24</f>
        <v/>
      </c>
      <c r="M26" s="48">
        <f>M14*Inputs!$D$137/12*M24</f>
        <v/>
      </c>
      <c r="N26" s="48">
        <f>N14*Inputs!$D$137/12*N24</f>
        <v/>
      </c>
      <c r="O26" s="48">
        <f>O14*Inputs!$D$137/12*O24</f>
        <v/>
      </c>
      <c r="P26" s="48">
        <f>P14*Inputs!$D$137/12*P24</f>
        <v/>
      </c>
      <c r="Q26" s="48">
        <f>Q14*Inputs!$D$137/12*Q24</f>
        <v/>
      </c>
      <c r="R26" s="48">
        <f>R14*Inputs!$D$137/12*R24</f>
        <v/>
      </c>
      <c r="S26" s="48">
        <f>S14*Inputs!$D$137/12*S24</f>
        <v/>
      </c>
      <c r="T26" s="48">
        <f>T14*Inputs!$D$137/12*T24</f>
        <v/>
      </c>
      <c r="U26" s="48">
        <f>U14*Inputs!$D$137/12*U24</f>
        <v/>
      </c>
      <c r="V26" s="48">
        <f>V14*Inputs!$D$137/12*V24</f>
        <v/>
      </c>
      <c r="W26" s="48">
        <f>W14*Inputs!$D$137/12*W24</f>
        <v/>
      </c>
      <c r="X26" s="48">
        <f>X14*Inputs!$D$137/12*X24</f>
        <v/>
      </c>
      <c r="Y26" s="48">
        <f>Y14*Inputs!$D$137/12*Y24</f>
        <v/>
      </c>
      <c r="Z26" s="48">
        <f>Z14*Inputs!$D$137/12*Z24</f>
        <v/>
      </c>
      <c r="AA26" s="48">
        <f>AA14*Inputs!$D$137/12*AA24</f>
        <v/>
      </c>
      <c r="AB26" s="48">
        <f>AB14*Inputs!$D$137/12*AB24</f>
        <v/>
      </c>
      <c r="AC26" s="48">
        <f>AC14*Inputs!$D$137/12*AC24</f>
        <v/>
      </c>
      <c r="AD26" s="48">
        <f>AD14*Inputs!$D$137/12*AD24</f>
        <v/>
      </c>
      <c r="AE26" s="48">
        <f>AE14*Inputs!$D$137/12*AE24</f>
        <v/>
      </c>
      <c r="AF26" s="48">
        <f>AF14*Inputs!$D$137/12*AF24</f>
        <v/>
      </c>
      <c r="AG26" s="48">
        <f>AG14*Inputs!$D$137/12*AG24</f>
        <v/>
      </c>
      <c r="AH26" s="48">
        <f>AH14*Inputs!$D$137/12*AH24</f>
        <v/>
      </c>
      <c r="AI26" s="48">
        <f>AI14*Inputs!$D$137/12*AI24</f>
        <v/>
      </c>
      <c r="AJ26" s="48">
        <f>AJ14*Inputs!$D$137/12*AJ24</f>
        <v/>
      </c>
      <c r="AK26" s="48">
        <f>AK14*Inputs!$D$137/12*AK24</f>
        <v/>
      </c>
      <c r="AL26" s="48">
        <f>AL14*Inputs!$D$137/12*AL24</f>
        <v/>
      </c>
      <c r="AM26" s="48">
        <f>AM14*Inputs!$D$137/12*AM24</f>
        <v/>
      </c>
      <c r="AN26" s="48">
        <f>AN14*Inputs!$D$137/12*AN24</f>
        <v/>
      </c>
      <c r="AO26" s="48">
        <f>AO14*Inputs!$D$137/12*AO24</f>
        <v/>
      </c>
      <c r="AP26" s="48">
        <f>AP14*Inputs!$D$137/12*AP24</f>
        <v/>
      </c>
      <c r="AQ26" s="48">
        <f>AQ14*Inputs!$D$137/12*AQ24</f>
        <v/>
      </c>
      <c r="AR26" s="48">
        <f>AR14*Inputs!$D$137/12*AR24</f>
        <v/>
      </c>
      <c r="AS26" s="48">
        <f>AS14*Inputs!$D$137/12*AS24</f>
        <v/>
      </c>
      <c r="AT26" s="48">
        <f>AT14*Inputs!$D$137/12*AT24</f>
        <v/>
      </c>
      <c r="AU26" s="48">
        <f>AU14*Inputs!$D$137/12*AU24</f>
        <v/>
      </c>
      <c r="AV26" s="48">
        <f>AV14*Inputs!$D$137/12*AV24</f>
        <v/>
      </c>
      <c r="AW26" s="48">
        <f>AW14*Inputs!$D$137/12*AW24</f>
        <v/>
      </c>
      <c r="AX26" s="48">
        <f>AX14*Inputs!$D$137/12*AX24</f>
        <v/>
      </c>
      <c r="AY26" s="48">
        <f>AY14*Inputs!$D$137/12*AY24</f>
        <v/>
      </c>
      <c r="AZ26" s="48">
        <f>AZ14*Inputs!$D$137/12*AZ24</f>
        <v/>
      </c>
      <c r="BA26" s="48">
        <f>BA14*Inputs!$D$137/12*BA24</f>
        <v/>
      </c>
      <c r="BB26" s="48">
        <f>BB14*Inputs!$D$137/12*BB24</f>
        <v/>
      </c>
      <c r="BC26" s="48">
        <f>BC14*Inputs!$D$137/12*BC24</f>
        <v/>
      </c>
      <c r="BD26" s="48">
        <f>BD14*Inputs!$D$137/12*BD24</f>
        <v/>
      </c>
      <c r="BE26" s="48">
        <f>BE14*Inputs!$D$137/12*BE24</f>
        <v/>
      </c>
      <c r="BF26" s="48">
        <f>BF14*Inputs!$D$137/12*BF24</f>
        <v/>
      </c>
      <c r="BG26" s="48">
        <f>BG14*Inputs!$D$137/12*BG24</f>
        <v/>
      </c>
      <c r="BH26" s="48">
        <f>BH14*Inputs!$D$137/12*BH24</f>
        <v/>
      </c>
      <c r="BI26" s="48">
        <f>BI14*Inputs!$D$137/12*BI24</f>
        <v/>
      </c>
      <c r="BJ26" s="48">
        <f>BJ14*Inputs!$D$137/12*BJ24</f>
        <v/>
      </c>
      <c r="BK26" s="48">
        <f>BK14*Inputs!$D$137/12*BK24</f>
        <v/>
      </c>
      <c r="BM26" s="91">
        <f>SUM(D26:O26)</f>
        <v/>
      </c>
      <c r="BN26" s="91">
        <f>SUM(P26:AA26)</f>
        <v/>
      </c>
      <c r="BO26" s="91">
        <f>SUM(AB26:AM26)</f>
        <v/>
      </c>
      <c r="BP26" s="91">
        <f>SUM(AN26:AY26)</f>
        <v/>
      </c>
      <c r="BQ26" s="91">
        <f>SUM(AZ26:BK26)</f>
        <v/>
      </c>
    </row>
    <row r="27">
      <c r="B27" s="18" t="inlineStr">
        <is>
          <t xml:space="preserve">    GA payroll</t>
        </is>
      </c>
      <c r="C27" s="19" t="inlineStr">
        <is>
          <t>$</t>
        </is>
      </c>
      <c r="D27" s="48">
        <f>D13*Inputs!$D$138/12*D24</f>
        <v/>
      </c>
      <c r="E27" s="48">
        <f>E13*Inputs!$D$138/12*E24</f>
        <v/>
      </c>
      <c r="F27" s="48">
        <f>F13*Inputs!$D$138/12*F24</f>
        <v/>
      </c>
      <c r="G27" s="48">
        <f>G13*Inputs!$D$138/12*G24</f>
        <v/>
      </c>
      <c r="H27" s="48">
        <f>H13*Inputs!$D$138/12*H24</f>
        <v/>
      </c>
      <c r="I27" s="48">
        <f>I13*Inputs!$D$138/12*I24</f>
        <v/>
      </c>
      <c r="J27" s="48">
        <f>J13*Inputs!$D$138/12*J24</f>
        <v/>
      </c>
      <c r="K27" s="48">
        <f>K13*Inputs!$D$138/12*K24</f>
        <v/>
      </c>
      <c r="L27" s="48">
        <f>L13*Inputs!$D$138/12*L24</f>
        <v/>
      </c>
      <c r="M27" s="48">
        <f>M13*Inputs!$D$138/12*M24</f>
        <v/>
      </c>
      <c r="N27" s="48">
        <f>N13*Inputs!$D$138/12*N24</f>
        <v/>
      </c>
      <c r="O27" s="48">
        <f>O13*Inputs!$D$138/12*O24</f>
        <v/>
      </c>
      <c r="P27" s="48">
        <f>P13*Inputs!$D$138/12*P24</f>
        <v/>
      </c>
      <c r="Q27" s="48">
        <f>Q13*Inputs!$D$138/12*Q24</f>
        <v/>
      </c>
      <c r="R27" s="48">
        <f>R13*Inputs!$D$138/12*R24</f>
        <v/>
      </c>
      <c r="S27" s="48">
        <f>S13*Inputs!$D$138/12*S24</f>
        <v/>
      </c>
      <c r="T27" s="48">
        <f>T13*Inputs!$D$138/12*T24</f>
        <v/>
      </c>
      <c r="U27" s="48">
        <f>U13*Inputs!$D$138/12*U24</f>
        <v/>
      </c>
      <c r="V27" s="48">
        <f>V13*Inputs!$D$138/12*V24</f>
        <v/>
      </c>
      <c r="W27" s="48">
        <f>W13*Inputs!$D$138/12*W24</f>
        <v/>
      </c>
      <c r="X27" s="48">
        <f>X13*Inputs!$D$138/12*X24</f>
        <v/>
      </c>
      <c r="Y27" s="48">
        <f>Y13*Inputs!$D$138/12*Y24</f>
        <v/>
      </c>
      <c r="Z27" s="48">
        <f>Z13*Inputs!$D$138/12*Z24</f>
        <v/>
      </c>
      <c r="AA27" s="48">
        <f>AA13*Inputs!$D$138/12*AA24</f>
        <v/>
      </c>
      <c r="AB27" s="48">
        <f>AB13*Inputs!$D$138/12*AB24</f>
        <v/>
      </c>
      <c r="AC27" s="48">
        <f>AC13*Inputs!$D$138/12*AC24</f>
        <v/>
      </c>
      <c r="AD27" s="48">
        <f>AD13*Inputs!$D$138/12*AD24</f>
        <v/>
      </c>
      <c r="AE27" s="48">
        <f>AE13*Inputs!$D$138/12*AE24</f>
        <v/>
      </c>
      <c r="AF27" s="48">
        <f>AF13*Inputs!$D$138/12*AF24</f>
        <v/>
      </c>
      <c r="AG27" s="48">
        <f>AG13*Inputs!$D$138/12*AG24</f>
        <v/>
      </c>
      <c r="AH27" s="48">
        <f>AH13*Inputs!$D$138/12*AH24</f>
        <v/>
      </c>
      <c r="AI27" s="48">
        <f>AI13*Inputs!$D$138/12*AI24</f>
        <v/>
      </c>
      <c r="AJ27" s="48">
        <f>AJ13*Inputs!$D$138/12*AJ24</f>
        <v/>
      </c>
      <c r="AK27" s="48">
        <f>AK13*Inputs!$D$138/12*AK24</f>
        <v/>
      </c>
      <c r="AL27" s="48">
        <f>AL13*Inputs!$D$138/12*AL24</f>
        <v/>
      </c>
      <c r="AM27" s="48">
        <f>AM13*Inputs!$D$138/12*AM24</f>
        <v/>
      </c>
      <c r="AN27" s="48">
        <f>AN13*Inputs!$D$138/12*AN24</f>
        <v/>
      </c>
      <c r="AO27" s="48">
        <f>AO13*Inputs!$D$138/12*AO24</f>
        <v/>
      </c>
      <c r="AP27" s="48">
        <f>AP13*Inputs!$D$138/12*AP24</f>
        <v/>
      </c>
      <c r="AQ27" s="48">
        <f>AQ13*Inputs!$D$138/12*AQ24</f>
        <v/>
      </c>
      <c r="AR27" s="48">
        <f>AR13*Inputs!$D$138/12*AR24</f>
        <v/>
      </c>
      <c r="AS27" s="48">
        <f>AS13*Inputs!$D$138/12*AS24</f>
        <v/>
      </c>
      <c r="AT27" s="48">
        <f>AT13*Inputs!$D$138/12*AT24</f>
        <v/>
      </c>
      <c r="AU27" s="48">
        <f>AU13*Inputs!$D$138/12*AU24</f>
        <v/>
      </c>
      <c r="AV27" s="48">
        <f>AV13*Inputs!$D$138/12*AV24</f>
        <v/>
      </c>
      <c r="AW27" s="48">
        <f>AW13*Inputs!$D$138/12*AW24</f>
        <v/>
      </c>
      <c r="AX27" s="48">
        <f>AX13*Inputs!$D$138/12*AX24</f>
        <v/>
      </c>
      <c r="AY27" s="48">
        <f>AY13*Inputs!$D$138/12*AY24</f>
        <v/>
      </c>
      <c r="AZ27" s="48">
        <f>AZ13*Inputs!$D$138/12*AZ24</f>
        <v/>
      </c>
      <c r="BA27" s="48">
        <f>BA13*Inputs!$D$138/12*BA24</f>
        <v/>
      </c>
      <c r="BB27" s="48">
        <f>BB13*Inputs!$D$138/12*BB24</f>
        <v/>
      </c>
      <c r="BC27" s="48">
        <f>BC13*Inputs!$D$138/12*BC24</f>
        <v/>
      </c>
      <c r="BD27" s="48">
        <f>BD13*Inputs!$D$138/12*BD24</f>
        <v/>
      </c>
      <c r="BE27" s="48">
        <f>BE13*Inputs!$D$138/12*BE24</f>
        <v/>
      </c>
      <c r="BF27" s="48">
        <f>BF13*Inputs!$D$138/12*BF24</f>
        <v/>
      </c>
      <c r="BG27" s="48">
        <f>BG13*Inputs!$D$138/12*BG24</f>
        <v/>
      </c>
      <c r="BH27" s="48">
        <f>BH13*Inputs!$D$138/12*BH24</f>
        <v/>
      </c>
      <c r="BI27" s="48">
        <f>BI13*Inputs!$D$138/12*BI24</f>
        <v/>
      </c>
      <c r="BJ27" s="48">
        <f>BJ13*Inputs!$D$138/12*BJ24</f>
        <v/>
      </c>
      <c r="BK27" s="48">
        <f>BK13*Inputs!$D$138/12*BK24</f>
        <v/>
      </c>
      <c r="BM27" s="91">
        <f>SUM(D27:O27)</f>
        <v/>
      </c>
      <c r="BN27" s="91">
        <f>SUM(P27:AA27)</f>
        <v/>
      </c>
      <c r="BO27" s="91">
        <f>SUM(AB27:AM27)</f>
        <v/>
      </c>
      <c r="BP27" s="91">
        <f>SUM(AN27:AY27)</f>
        <v/>
      </c>
      <c r="BQ27" s="91">
        <f>SUM(AZ27:BK27)</f>
        <v/>
      </c>
    </row>
    <row r="28">
      <c r="B28" s="18" t="inlineStr">
        <is>
          <t xml:space="preserve">    S&amp;M payroll</t>
        </is>
      </c>
      <c r="C28" s="19" t="inlineStr">
        <is>
          <t>$</t>
        </is>
      </c>
      <c r="D28" s="48">
        <f>('Rev-Capacity'!D12*Inputs!$D$133+D15*Inputs!$D$134+D16*Inputs!$D$135+(D17+D18)*Inputs!$D$136)/12*D24</f>
        <v/>
      </c>
      <c r="E28" s="48">
        <f>('Rev-Capacity'!E12*Inputs!$D$133+E15*Inputs!$D$134+E16*Inputs!$D$135+(E17+E18)*Inputs!$D$136)/12*E24</f>
        <v/>
      </c>
      <c r="F28" s="48">
        <f>('Rev-Capacity'!F12*Inputs!$D$133+F15*Inputs!$D$134+F16*Inputs!$D$135+(F17+F18)*Inputs!$D$136)/12*F24</f>
        <v/>
      </c>
      <c r="G28" s="48">
        <f>('Rev-Capacity'!G12*Inputs!$D$133+G15*Inputs!$D$134+G16*Inputs!$D$135+(G17+G18)*Inputs!$D$136)/12*G24</f>
        <v/>
      </c>
      <c r="H28" s="48">
        <f>('Rev-Capacity'!H12*Inputs!$D$133+H15*Inputs!$D$134+H16*Inputs!$D$135+(H17+H18)*Inputs!$D$136)/12*H24</f>
        <v/>
      </c>
      <c r="I28" s="48">
        <f>('Rev-Capacity'!I12*Inputs!$D$133+I15*Inputs!$D$134+I16*Inputs!$D$135+(I17+I18)*Inputs!$D$136)/12*I24</f>
        <v/>
      </c>
      <c r="J28" s="48">
        <f>('Rev-Capacity'!J12*Inputs!$D$133+J15*Inputs!$D$134+J16*Inputs!$D$135+(J17+J18)*Inputs!$D$136)/12*J24</f>
        <v/>
      </c>
      <c r="K28" s="48">
        <f>('Rev-Capacity'!K12*Inputs!$D$133+K15*Inputs!$D$134+K16*Inputs!$D$135+(K17+K18)*Inputs!$D$136)/12*K24</f>
        <v/>
      </c>
      <c r="L28" s="48">
        <f>('Rev-Capacity'!L12*Inputs!$D$133+L15*Inputs!$D$134+L16*Inputs!$D$135+(L17+L18)*Inputs!$D$136)/12*L24</f>
        <v/>
      </c>
      <c r="M28" s="48">
        <f>('Rev-Capacity'!M12*Inputs!$D$133+M15*Inputs!$D$134+M16*Inputs!$D$135+(M17+M18)*Inputs!$D$136)/12*M24</f>
        <v/>
      </c>
      <c r="N28" s="48">
        <f>('Rev-Capacity'!N12*Inputs!$D$133+N15*Inputs!$D$134+N16*Inputs!$D$135+(N17+N18)*Inputs!$D$136)/12*N24</f>
        <v/>
      </c>
      <c r="O28" s="48">
        <f>('Rev-Capacity'!O12*Inputs!$D$133+O15*Inputs!$D$134+O16*Inputs!$D$135+(O17+O18)*Inputs!$D$136)/12*O24</f>
        <v/>
      </c>
      <c r="P28" s="48">
        <f>('Rev-Capacity'!P12*Inputs!$D$133+P15*Inputs!$D$134+P16*Inputs!$D$135+(P17+P18)*Inputs!$D$136)/12*P24</f>
        <v/>
      </c>
      <c r="Q28" s="48">
        <f>('Rev-Capacity'!Q12*Inputs!$D$133+Q15*Inputs!$D$134+Q16*Inputs!$D$135+(Q17+Q18)*Inputs!$D$136)/12*Q24</f>
        <v/>
      </c>
      <c r="R28" s="48">
        <f>('Rev-Capacity'!R12*Inputs!$D$133+R15*Inputs!$D$134+R16*Inputs!$D$135+(R17+R18)*Inputs!$D$136)/12*R24</f>
        <v/>
      </c>
      <c r="S28" s="48">
        <f>('Rev-Capacity'!S12*Inputs!$D$133+S15*Inputs!$D$134+S16*Inputs!$D$135+(S17+S18)*Inputs!$D$136)/12*S24</f>
        <v/>
      </c>
      <c r="T28" s="48">
        <f>('Rev-Capacity'!T12*Inputs!$D$133+T15*Inputs!$D$134+T16*Inputs!$D$135+(T17+T18)*Inputs!$D$136)/12*T24</f>
        <v/>
      </c>
      <c r="U28" s="48">
        <f>('Rev-Capacity'!U12*Inputs!$D$133+U15*Inputs!$D$134+U16*Inputs!$D$135+(U17+U18)*Inputs!$D$136)/12*U24</f>
        <v/>
      </c>
      <c r="V28" s="48">
        <f>('Rev-Capacity'!V12*Inputs!$D$133+V15*Inputs!$D$134+V16*Inputs!$D$135+(V17+V18)*Inputs!$D$136)/12*V24</f>
        <v/>
      </c>
      <c r="W28" s="48">
        <f>('Rev-Capacity'!W12*Inputs!$D$133+W15*Inputs!$D$134+W16*Inputs!$D$135+(W17+W18)*Inputs!$D$136)/12*W24</f>
        <v/>
      </c>
      <c r="X28" s="48">
        <f>('Rev-Capacity'!X12*Inputs!$D$133+X15*Inputs!$D$134+X16*Inputs!$D$135+(X17+X18)*Inputs!$D$136)/12*X24</f>
        <v/>
      </c>
      <c r="Y28" s="48">
        <f>('Rev-Capacity'!Y12*Inputs!$D$133+Y15*Inputs!$D$134+Y16*Inputs!$D$135+(Y17+Y18)*Inputs!$D$136)/12*Y24</f>
        <v/>
      </c>
      <c r="Z28" s="48">
        <f>('Rev-Capacity'!Z12*Inputs!$D$133+Z15*Inputs!$D$134+Z16*Inputs!$D$135+(Z17+Z18)*Inputs!$D$136)/12*Z24</f>
        <v/>
      </c>
      <c r="AA28" s="48">
        <f>('Rev-Capacity'!AA12*Inputs!$D$133+AA15*Inputs!$D$134+AA16*Inputs!$D$135+(AA17+AA18)*Inputs!$D$136)/12*AA24</f>
        <v/>
      </c>
      <c r="AB28" s="48">
        <f>('Rev-Capacity'!AB12*Inputs!$D$133+AB15*Inputs!$D$134+AB16*Inputs!$D$135+(AB17+AB18)*Inputs!$D$136)/12*AB24</f>
        <v/>
      </c>
      <c r="AC28" s="48">
        <f>('Rev-Capacity'!AC12*Inputs!$D$133+AC15*Inputs!$D$134+AC16*Inputs!$D$135+(AC17+AC18)*Inputs!$D$136)/12*AC24</f>
        <v/>
      </c>
      <c r="AD28" s="48">
        <f>('Rev-Capacity'!AD12*Inputs!$D$133+AD15*Inputs!$D$134+AD16*Inputs!$D$135+(AD17+AD18)*Inputs!$D$136)/12*AD24</f>
        <v/>
      </c>
      <c r="AE28" s="48">
        <f>('Rev-Capacity'!AE12*Inputs!$D$133+AE15*Inputs!$D$134+AE16*Inputs!$D$135+(AE17+AE18)*Inputs!$D$136)/12*AE24</f>
        <v/>
      </c>
      <c r="AF28" s="48">
        <f>('Rev-Capacity'!AF12*Inputs!$D$133+AF15*Inputs!$D$134+AF16*Inputs!$D$135+(AF17+AF18)*Inputs!$D$136)/12*AF24</f>
        <v/>
      </c>
      <c r="AG28" s="48">
        <f>('Rev-Capacity'!AG12*Inputs!$D$133+AG15*Inputs!$D$134+AG16*Inputs!$D$135+(AG17+AG18)*Inputs!$D$136)/12*AG24</f>
        <v/>
      </c>
      <c r="AH28" s="48">
        <f>('Rev-Capacity'!AH12*Inputs!$D$133+AH15*Inputs!$D$134+AH16*Inputs!$D$135+(AH17+AH18)*Inputs!$D$136)/12*AH24</f>
        <v/>
      </c>
      <c r="AI28" s="48">
        <f>('Rev-Capacity'!AI12*Inputs!$D$133+AI15*Inputs!$D$134+AI16*Inputs!$D$135+(AI17+AI18)*Inputs!$D$136)/12*AI24</f>
        <v/>
      </c>
      <c r="AJ28" s="48">
        <f>('Rev-Capacity'!AJ12*Inputs!$D$133+AJ15*Inputs!$D$134+AJ16*Inputs!$D$135+(AJ17+AJ18)*Inputs!$D$136)/12*AJ24</f>
        <v/>
      </c>
      <c r="AK28" s="48">
        <f>('Rev-Capacity'!AK12*Inputs!$D$133+AK15*Inputs!$D$134+AK16*Inputs!$D$135+(AK17+AK18)*Inputs!$D$136)/12*AK24</f>
        <v/>
      </c>
      <c r="AL28" s="48">
        <f>('Rev-Capacity'!AL12*Inputs!$D$133+AL15*Inputs!$D$134+AL16*Inputs!$D$135+(AL17+AL18)*Inputs!$D$136)/12*AL24</f>
        <v/>
      </c>
      <c r="AM28" s="48">
        <f>('Rev-Capacity'!AM12*Inputs!$D$133+AM15*Inputs!$D$134+AM16*Inputs!$D$135+(AM17+AM18)*Inputs!$D$136)/12*AM24</f>
        <v/>
      </c>
      <c r="AN28" s="48">
        <f>('Rev-Capacity'!AN12*Inputs!$D$133+AN15*Inputs!$D$134+AN16*Inputs!$D$135+(AN17+AN18)*Inputs!$D$136)/12*AN24</f>
        <v/>
      </c>
      <c r="AO28" s="48">
        <f>('Rev-Capacity'!AO12*Inputs!$D$133+AO15*Inputs!$D$134+AO16*Inputs!$D$135+(AO17+AO18)*Inputs!$D$136)/12*AO24</f>
        <v/>
      </c>
      <c r="AP28" s="48">
        <f>('Rev-Capacity'!AP12*Inputs!$D$133+AP15*Inputs!$D$134+AP16*Inputs!$D$135+(AP17+AP18)*Inputs!$D$136)/12*AP24</f>
        <v/>
      </c>
      <c r="AQ28" s="48">
        <f>('Rev-Capacity'!AQ12*Inputs!$D$133+AQ15*Inputs!$D$134+AQ16*Inputs!$D$135+(AQ17+AQ18)*Inputs!$D$136)/12*AQ24</f>
        <v/>
      </c>
      <c r="AR28" s="48">
        <f>('Rev-Capacity'!AR12*Inputs!$D$133+AR15*Inputs!$D$134+AR16*Inputs!$D$135+(AR17+AR18)*Inputs!$D$136)/12*AR24</f>
        <v/>
      </c>
      <c r="AS28" s="48">
        <f>('Rev-Capacity'!AS12*Inputs!$D$133+AS15*Inputs!$D$134+AS16*Inputs!$D$135+(AS17+AS18)*Inputs!$D$136)/12*AS24</f>
        <v/>
      </c>
      <c r="AT28" s="48">
        <f>('Rev-Capacity'!AT12*Inputs!$D$133+AT15*Inputs!$D$134+AT16*Inputs!$D$135+(AT17+AT18)*Inputs!$D$136)/12*AT24</f>
        <v/>
      </c>
      <c r="AU28" s="48">
        <f>('Rev-Capacity'!AU12*Inputs!$D$133+AU15*Inputs!$D$134+AU16*Inputs!$D$135+(AU17+AU18)*Inputs!$D$136)/12*AU24</f>
        <v/>
      </c>
      <c r="AV28" s="48">
        <f>('Rev-Capacity'!AV12*Inputs!$D$133+AV15*Inputs!$D$134+AV16*Inputs!$D$135+(AV17+AV18)*Inputs!$D$136)/12*AV24</f>
        <v/>
      </c>
      <c r="AW28" s="48">
        <f>('Rev-Capacity'!AW12*Inputs!$D$133+AW15*Inputs!$D$134+AW16*Inputs!$D$135+(AW17+AW18)*Inputs!$D$136)/12*AW24</f>
        <v/>
      </c>
      <c r="AX28" s="48">
        <f>('Rev-Capacity'!AX12*Inputs!$D$133+AX15*Inputs!$D$134+AX16*Inputs!$D$135+(AX17+AX18)*Inputs!$D$136)/12*AX24</f>
        <v/>
      </c>
      <c r="AY28" s="48">
        <f>('Rev-Capacity'!AY12*Inputs!$D$133+AY15*Inputs!$D$134+AY16*Inputs!$D$135+(AY17+AY18)*Inputs!$D$136)/12*AY24</f>
        <v/>
      </c>
      <c r="AZ28" s="48">
        <f>('Rev-Capacity'!AZ12*Inputs!$D$133+AZ15*Inputs!$D$134+AZ16*Inputs!$D$135+(AZ17+AZ18)*Inputs!$D$136)/12*AZ24</f>
        <v/>
      </c>
      <c r="BA28" s="48">
        <f>('Rev-Capacity'!BA12*Inputs!$D$133+BA15*Inputs!$D$134+BA16*Inputs!$D$135+(BA17+BA18)*Inputs!$D$136)/12*BA24</f>
        <v/>
      </c>
      <c r="BB28" s="48">
        <f>('Rev-Capacity'!BB12*Inputs!$D$133+BB15*Inputs!$D$134+BB16*Inputs!$D$135+(BB17+BB18)*Inputs!$D$136)/12*BB24</f>
        <v/>
      </c>
      <c r="BC28" s="48">
        <f>('Rev-Capacity'!BC12*Inputs!$D$133+BC15*Inputs!$D$134+BC16*Inputs!$D$135+(BC17+BC18)*Inputs!$D$136)/12*BC24</f>
        <v/>
      </c>
      <c r="BD28" s="48">
        <f>('Rev-Capacity'!BD12*Inputs!$D$133+BD15*Inputs!$D$134+BD16*Inputs!$D$135+(BD17+BD18)*Inputs!$D$136)/12*BD24</f>
        <v/>
      </c>
      <c r="BE28" s="48">
        <f>('Rev-Capacity'!BE12*Inputs!$D$133+BE15*Inputs!$D$134+BE16*Inputs!$D$135+(BE17+BE18)*Inputs!$D$136)/12*BE24</f>
        <v/>
      </c>
      <c r="BF28" s="48">
        <f>('Rev-Capacity'!BF12*Inputs!$D$133+BF15*Inputs!$D$134+BF16*Inputs!$D$135+(BF17+BF18)*Inputs!$D$136)/12*BF24</f>
        <v/>
      </c>
      <c r="BG28" s="48">
        <f>('Rev-Capacity'!BG12*Inputs!$D$133+BG15*Inputs!$D$134+BG16*Inputs!$D$135+(BG17+BG18)*Inputs!$D$136)/12*BG24</f>
        <v/>
      </c>
      <c r="BH28" s="48">
        <f>('Rev-Capacity'!BH12*Inputs!$D$133+BH15*Inputs!$D$134+BH16*Inputs!$D$135+(BH17+BH18)*Inputs!$D$136)/12*BH24</f>
        <v/>
      </c>
      <c r="BI28" s="48">
        <f>('Rev-Capacity'!BI12*Inputs!$D$133+BI15*Inputs!$D$134+BI16*Inputs!$D$135+(BI17+BI18)*Inputs!$D$136)/12*BI24</f>
        <v/>
      </c>
      <c r="BJ28" s="48">
        <f>('Rev-Capacity'!BJ12*Inputs!$D$133+BJ15*Inputs!$D$134+BJ16*Inputs!$D$135+(BJ17+BJ18)*Inputs!$D$136)/12*BJ24</f>
        <v/>
      </c>
      <c r="BK28" s="48">
        <f>('Rev-Capacity'!BK12*Inputs!$D$133+BK15*Inputs!$D$134+BK16*Inputs!$D$135+(BK17+BK18)*Inputs!$D$136)/12*BK24</f>
        <v/>
      </c>
      <c r="BM28" s="91">
        <f>SUM(D28:O28)</f>
        <v/>
      </c>
      <c r="BN28" s="91">
        <f>SUM(P28:AA28)</f>
        <v/>
      </c>
      <c r="BO28" s="91">
        <f>SUM(AB28:AM28)</f>
        <v/>
      </c>
      <c r="BP28" s="91">
        <f>SUM(AN28:AY28)</f>
        <v/>
      </c>
      <c r="BQ28" s="91">
        <f>SUM(AZ28:BK28)</f>
        <v/>
      </c>
    </row>
    <row r="29">
      <c r="B29" s="29" t="inlineStr">
        <is>
          <t xml:space="preserve">    Total payroll</t>
        </is>
      </c>
      <c r="C29" s="19" t="inlineStr">
        <is>
          <t>$</t>
        </is>
      </c>
      <c r="D29" s="46">
        <f>D25+D26+D27+D28</f>
        <v/>
      </c>
      <c r="E29" s="46">
        <f>E25+E26+E27+E28</f>
        <v/>
      </c>
      <c r="F29" s="46">
        <f>F25+F26+F27+F28</f>
        <v/>
      </c>
      <c r="G29" s="46">
        <f>G25+G26+G27+G28</f>
        <v/>
      </c>
      <c r="H29" s="46">
        <f>H25+H26+H27+H28</f>
        <v/>
      </c>
      <c r="I29" s="46">
        <f>I25+I26+I27+I28</f>
        <v/>
      </c>
      <c r="J29" s="46">
        <f>J25+J26+J27+J28</f>
        <v/>
      </c>
      <c r="K29" s="46">
        <f>K25+K26+K27+K28</f>
        <v/>
      </c>
      <c r="L29" s="46">
        <f>L25+L26+L27+L28</f>
        <v/>
      </c>
      <c r="M29" s="46">
        <f>M25+M26+M27+M28</f>
        <v/>
      </c>
      <c r="N29" s="46">
        <f>N25+N26+N27+N28</f>
        <v/>
      </c>
      <c r="O29" s="46">
        <f>O25+O26+O27+O28</f>
        <v/>
      </c>
      <c r="P29" s="46">
        <f>P25+P26+P27+P28</f>
        <v/>
      </c>
      <c r="Q29" s="46">
        <f>Q25+Q26+Q27+Q28</f>
        <v/>
      </c>
      <c r="R29" s="46">
        <f>R25+R26+R27+R28</f>
        <v/>
      </c>
      <c r="S29" s="46">
        <f>S25+S26+S27+S28</f>
        <v/>
      </c>
      <c r="T29" s="46">
        <f>T25+T26+T27+T28</f>
        <v/>
      </c>
      <c r="U29" s="46">
        <f>U25+U26+U27+U28</f>
        <v/>
      </c>
      <c r="V29" s="46">
        <f>V25+V26+V27+V28</f>
        <v/>
      </c>
      <c r="W29" s="46">
        <f>W25+W26+W27+W28</f>
        <v/>
      </c>
      <c r="X29" s="46">
        <f>X25+X26+X27+X28</f>
        <v/>
      </c>
      <c r="Y29" s="46">
        <f>Y25+Y26+Y27+Y28</f>
        <v/>
      </c>
      <c r="Z29" s="46">
        <f>Z25+Z26+Z27+Z28</f>
        <v/>
      </c>
      <c r="AA29" s="46">
        <f>AA25+AA26+AA27+AA28</f>
        <v/>
      </c>
      <c r="AB29" s="46">
        <f>AB25+AB26+AB27+AB28</f>
        <v/>
      </c>
      <c r="AC29" s="46">
        <f>AC25+AC26+AC27+AC28</f>
        <v/>
      </c>
      <c r="AD29" s="46">
        <f>AD25+AD26+AD27+AD28</f>
        <v/>
      </c>
      <c r="AE29" s="46">
        <f>AE25+AE26+AE27+AE28</f>
        <v/>
      </c>
      <c r="AF29" s="46">
        <f>AF25+AF26+AF27+AF28</f>
        <v/>
      </c>
      <c r="AG29" s="46">
        <f>AG25+AG26+AG27+AG28</f>
        <v/>
      </c>
      <c r="AH29" s="46">
        <f>AH25+AH26+AH27+AH28</f>
        <v/>
      </c>
      <c r="AI29" s="46">
        <f>AI25+AI26+AI27+AI28</f>
        <v/>
      </c>
      <c r="AJ29" s="46">
        <f>AJ25+AJ26+AJ27+AJ28</f>
        <v/>
      </c>
      <c r="AK29" s="46">
        <f>AK25+AK26+AK27+AK28</f>
        <v/>
      </c>
      <c r="AL29" s="46">
        <f>AL25+AL26+AL27+AL28</f>
        <v/>
      </c>
      <c r="AM29" s="46">
        <f>AM25+AM26+AM27+AM28</f>
        <v/>
      </c>
      <c r="AN29" s="46">
        <f>AN25+AN26+AN27+AN28</f>
        <v/>
      </c>
      <c r="AO29" s="46">
        <f>AO25+AO26+AO27+AO28</f>
        <v/>
      </c>
      <c r="AP29" s="46">
        <f>AP25+AP26+AP27+AP28</f>
        <v/>
      </c>
      <c r="AQ29" s="46">
        <f>AQ25+AQ26+AQ27+AQ28</f>
        <v/>
      </c>
      <c r="AR29" s="46">
        <f>AR25+AR26+AR27+AR28</f>
        <v/>
      </c>
      <c r="AS29" s="46">
        <f>AS25+AS26+AS27+AS28</f>
        <v/>
      </c>
      <c r="AT29" s="46">
        <f>AT25+AT26+AT27+AT28</f>
        <v/>
      </c>
      <c r="AU29" s="46">
        <f>AU25+AU26+AU27+AU28</f>
        <v/>
      </c>
      <c r="AV29" s="46">
        <f>AV25+AV26+AV27+AV28</f>
        <v/>
      </c>
      <c r="AW29" s="46">
        <f>AW25+AW26+AW27+AW28</f>
        <v/>
      </c>
      <c r="AX29" s="46">
        <f>AX25+AX26+AX27+AX28</f>
        <v/>
      </c>
      <c r="AY29" s="46">
        <f>AY25+AY26+AY27+AY28</f>
        <v/>
      </c>
      <c r="AZ29" s="46">
        <f>AZ25+AZ26+AZ27+AZ28</f>
        <v/>
      </c>
      <c r="BA29" s="46">
        <f>BA25+BA26+BA27+BA28</f>
        <v/>
      </c>
      <c r="BB29" s="46">
        <f>BB25+BB26+BB27+BB28</f>
        <v/>
      </c>
      <c r="BC29" s="46">
        <f>BC25+BC26+BC27+BC28</f>
        <v/>
      </c>
      <c r="BD29" s="46">
        <f>BD25+BD26+BD27+BD28</f>
        <v/>
      </c>
      <c r="BE29" s="46">
        <f>BE25+BE26+BE27+BE28</f>
        <v/>
      </c>
      <c r="BF29" s="46">
        <f>BF25+BF26+BF27+BF28</f>
        <v/>
      </c>
      <c r="BG29" s="46">
        <f>BG25+BG26+BG27+BG28</f>
        <v/>
      </c>
      <c r="BH29" s="46">
        <f>BH25+BH26+BH27+BH28</f>
        <v/>
      </c>
      <c r="BI29" s="46">
        <f>BI25+BI26+BI27+BI28</f>
        <v/>
      </c>
      <c r="BJ29" s="46">
        <f>BJ25+BJ26+BJ27+BJ28</f>
        <v/>
      </c>
      <c r="BK29" s="46">
        <f>BK25+BK26+BK27+BK28</f>
        <v/>
      </c>
      <c r="BM29" s="91">
        <f>SUM(D29:O29)</f>
        <v/>
      </c>
      <c r="BN29" s="91">
        <f>SUM(P29:AA29)</f>
        <v/>
      </c>
      <c r="BO29" s="91">
        <f>SUM(AB29:AM29)</f>
        <v/>
      </c>
      <c r="BP29" s="91">
        <f>SUM(AN29:AY29)</f>
        <v/>
      </c>
      <c r="BQ29" s="91">
        <f>SUM(AZ29:BK29)</f>
        <v/>
      </c>
    </row>
    <row r="30">
      <c r="B30" s="18" t="inlineStr">
        <is>
          <t xml:space="preserve">    Stock compensation, non cash</t>
        </is>
      </c>
      <c r="C30" s="19" t="inlineStr">
        <is>
          <t>$</t>
        </is>
      </c>
      <c r="D30" s="48">
        <f>D29*Inputs!$D$143</f>
        <v/>
      </c>
      <c r="E30" s="48">
        <f>E29*Inputs!$D$143</f>
        <v/>
      </c>
      <c r="F30" s="48">
        <f>F29*Inputs!$D$143</f>
        <v/>
      </c>
      <c r="G30" s="48">
        <f>G29*Inputs!$D$143</f>
        <v/>
      </c>
      <c r="H30" s="48">
        <f>H29*Inputs!$D$143</f>
        <v/>
      </c>
      <c r="I30" s="48">
        <f>I29*Inputs!$D$143</f>
        <v/>
      </c>
      <c r="J30" s="48">
        <f>J29*Inputs!$D$143</f>
        <v/>
      </c>
      <c r="K30" s="48">
        <f>K29*Inputs!$D$143</f>
        <v/>
      </c>
      <c r="L30" s="48">
        <f>L29*Inputs!$D$143</f>
        <v/>
      </c>
      <c r="M30" s="48">
        <f>M29*Inputs!$D$143</f>
        <v/>
      </c>
      <c r="N30" s="48">
        <f>N29*Inputs!$D$143</f>
        <v/>
      </c>
      <c r="O30" s="48">
        <f>O29*Inputs!$D$143</f>
        <v/>
      </c>
      <c r="P30" s="48">
        <f>P29*Inputs!$D$143</f>
        <v/>
      </c>
      <c r="Q30" s="48">
        <f>Q29*Inputs!$D$143</f>
        <v/>
      </c>
      <c r="R30" s="48">
        <f>R29*Inputs!$D$143</f>
        <v/>
      </c>
      <c r="S30" s="48">
        <f>S29*Inputs!$D$143</f>
        <v/>
      </c>
      <c r="T30" s="48">
        <f>T29*Inputs!$D$143</f>
        <v/>
      </c>
      <c r="U30" s="48">
        <f>U29*Inputs!$D$143</f>
        <v/>
      </c>
      <c r="V30" s="48">
        <f>V29*Inputs!$D$143</f>
        <v/>
      </c>
      <c r="W30" s="48">
        <f>W29*Inputs!$D$143</f>
        <v/>
      </c>
      <c r="X30" s="48">
        <f>X29*Inputs!$D$143</f>
        <v/>
      </c>
      <c r="Y30" s="48">
        <f>Y29*Inputs!$D$143</f>
        <v/>
      </c>
      <c r="Z30" s="48">
        <f>Z29*Inputs!$D$143</f>
        <v/>
      </c>
      <c r="AA30" s="48">
        <f>AA29*Inputs!$D$143</f>
        <v/>
      </c>
      <c r="AB30" s="48">
        <f>AB29*Inputs!$D$143</f>
        <v/>
      </c>
      <c r="AC30" s="48">
        <f>AC29*Inputs!$D$143</f>
        <v/>
      </c>
      <c r="AD30" s="48">
        <f>AD29*Inputs!$D$143</f>
        <v/>
      </c>
      <c r="AE30" s="48">
        <f>AE29*Inputs!$D$143</f>
        <v/>
      </c>
      <c r="AF30" s="48">
        <f>AF29*Inputs!$D$143</f>
        <v/>
      </c>
      <c r="AG30" s="48">
        <f>AG29*Inputs!$D$143</f>
        <v/>
      </c>
      <c r="AH30" s="48">
        <f>AH29*Inputs!$D$143</f>
        <v/>
      </c>
      <c r="AI30" s="48">
        <f>AI29*Inputs!$D$143</f>
        <v/>
      </c>
      <c r="AJ30" s="48">
        <f>AJ29*Inputs!$D$143</f>
        <v/>
      </c>
      <c r="AK30" s="48">
        <f>AK29*Inputs!$D$143</f>
        <v/>
      </c>
      <c r="AL30" s="48">
        <f>AL29*Inputs!$D$143</f>
        <v/>
      </c>
      <c r="AM30" s="48">
        <f>AM29*Inputs!$D$143</f>
        <v/>
      </c>
      <c r="AN30" s="48">
        <f>AN29*Inputs!$D$143</f>
        <v/>
      </c>
      <c r="AO30" s="48">
        <f>AO29*Inputs!$D$143</f>
        <v/>
      </c>
      <c r="AP30" s="48">
        <f>AP29*Inputs!$D$143</f>
        <v/>
      </c>
      <c r="AQ30" s="48">
        <f>AQ29*Inputs!$D$143</f>
        <v/>
      </c>
      <c r="AR30" s="48">
        <f>AR29*Inputs!$D$143</f>
        <v/>
      </c>
      <c r="AS30" s="48">
        <f>AS29*Inputs!$D$143</f>
        <v/>
      </c>
      <c r="AT30" s="48">
        <f>AT29*Inputs!$D$143</f>
        <v/>
      </c>
      <c r="AU30" s="48">
        <f>AU29*Inputs!$D$143</f>
        <v/>
      </c>
      <c r="AV30" s="48">
        <f>AV29*Inputs!$D$143</f>
        <v/>
      </c>
      <c r="AW30" s="48">
        <f>AW29*Inputs!$D$143</f>
        <v/>
      </c>
      <c r="AX30" s="48">
        <f>AX29*Inputs!$D$143</f>
        <v/>
      </c>
      <c r="AY30" s="48">
        <f>AY29*Inputs!$D$143</f>
        <v/>
      </c>
      <c r="AZ30" s="48">
        <f>AZ29*Inputs!$D$143</f>
        <v/>
      </c>
      <c r="BA30" s="48">
        <f>BA29*Inputs!$D$143</f>
        <v/>
      </c>
      <c r="BB30" s="48">
        <f>BB29*Inputs!$D$143</f>
        <v/>
      </c>
      <c r="BC30" s="48">
        <f>BC29*Inputs!$D$143</f>
        <v/>
      </c>
      <c r="BD30" s="48">
        <f>BD29*Inputs!$D$143</f>
        <v/>
      </c>
      <c r="BE30" s="48">
        <f>BE29*Inputs!$D$143</f>
        <v/>
      </c>
      <c r="BF30" s="48">
        <f>BF29*Inputs!$D$143</f>
        <v/>
      </c>
      <c r="BG30" s="48">
        <f>BG29*Inputs!$D$143</f>
        <v/>
      </c>
      <c r="BH30" s="48">
        <f>BH29*Inputs!$D$143</f>
        <v/>
      </c>
      <c r="BI30" s="48">
        <f>BI29*Inputs!$D$143</f>
        <v/>
      </c>
      <c r="BJ30" s="48">
        <f>BJ29*Inputs!$D$143</f>
        <v/>
      </c>
      <c r="BK30" s="48">
        <f>BK29*Inputs!$D$143</f>
        <v/>
      </c>
      <c r="BM30" s="91">
        <f>SUM(D30:O30)</f>
        <v/>
      </c>
      <c r="BN30" s="91">
        <f>SUM(P30:AA30)</f>
        <v/>
      </c>
      <c r="BO30" s="91">
        <f>SUM(AB30:AM30)</f>
        <v/>
      </c>
      <c r="BP30" s="91">
        <f>SUM(AN30:AY30)</f>
        <v/>
      </c>
      <c r="BQ30" s="91">
        <f>SUM(AZ30:BK30)</f>
        <v/>
      </c>
    </row>
    <row r="31">
      <c r="B31" s="18" t="inlineStr">
        <is>
          <t xml:space="preserve">    Recruiting cost</t>
        </is>
      </c>
      <c r="C31" s="19" t="inlineStr">
        <is>
          <t>$</t>
        </is>
      </c>
      <c r="D31" s="48">
        <f>D21*Inputs!$D$142</f>
        <v/>
      </c>
      <c r="E31" s="48">
        <f>E21*Inputs!$D$142</f>
        <v/>
      </c>
      <c r="F31" s="48">
        <f>F21*Inputs!$D$142</f>
        <v/>
      </c>
      <c r="G31" s="48">
        <f>G21*Inputs!$D$142</f>
        <v/>
      </c>
      <c r="H31" s="48">
        <f>H21*Inputs!$D$142</f>
        <v/>
      </c>
      <c r="I31" s="48">
        <f>I21*Inputs!$D$142</f>
        <v/>
      </c>
      <c r="J31" s="48">
        <f>J21*Inputs!$D$142</f>
        <v/>
      </c>
      <c r="K31" s="48">
        <f>K21*Inputs!$D$142</f>
        <v/>
      </c>
      <c r="L31" s="48">
        <f>L21*Inputs!$D$142</f>
        <v/>
      </c>
      <c r="M31" s="48">
        <f>M21*Inputs!$D$142</f>
        <v/>
      </c>
      <c r="N31" s="48">
        <f>N21*Inputs!$D$142</f>
        <v/>
      </c>
      <c r="O31" s="48">
        <f>O21*Inputs!$D$142</f>
        <v/>
      </c>
      <c r="P31" s="48">
        <f>P21*Inputs!$D$142</f>
        <v/>
      </c>
      <c r="Q31" s="48">
        <f>Q21*Inputs!$D$142</f>
        <v/>
      </c>
      <c r="R31" s="48">
        <f>R21*Inputs!$D$142</f>
        <v/>
      </c>
      <c r="S31" s="48">
        <f>S21*Inputs!$D$142</f>
        <v/>
      </c>
      <c r="T31" s="48">
        <f>T21*Inputs!$D$142</f>
        <v/>
      </c>
      <c r="U31" s="48">
        <f>U21*Inputs!$D$142</f>
        <v/>
      </c>
      <c r="V31" s="48">
        <f>V21*Inputs!$D$142</f>
        <v/>
      </c>
      <c r="W31" s="48">
        <f>W21*Inputs!$D$142</f>
        <v/>
      </c>
      <c r="X31" s="48">
        <f>X21*Inputs!$D$142</f>
        <v/>
      </c>
      <c r="Y31" s="48">
        <f>Y21*Inputs!$D$142</f>
        <v/>
      </c>
      <c r="Z31" s="48">
        <f>Z21*Inputs!$D$142</f>
        <v/>
      </c>
      <c r="AA31" s="48">
        <f>AA21*Inputs!$D$142</f>
        <v/>
      </c>
      <c r="AB31" s="48">
        <f>AB21*Inputs!$D$142</f>
        <v/>
      </c>
      <c r="AC31" s="48">
        <f>AC21*Inputs!$D$142</f>
        <v/>
      </c>
      <c r="AD31" s="48">
        <f>AD21*Inputs!$D$142</f>
        <v/>
      </c>
      <c r="AE31" s="48">
        <f>AE21*Inputs!$D$142</f>
        <v/>
      </c>
      <c r="AF31" s="48">
        <f>AF21*Inputs!$D$142</f>
        <v/>
      </c>
      <c r="AG31" s="48">
        <f>AG21*Inputs!$D$142</f>
        <v/>
      </c>
      <c r="AH31" s="48">
        <f>AH21*Inputs!$D$142</f>
        <v/>
      </c>
      <c r="AI31" s="48">
        <f>AI21*Inputs!$D$142</f>
        <v/>
      </c>
      <c r="AJ31" s="48">
        <f>AJ21*Inputs!$D$142</f>
        <v/>
      </c>
      <c r="AK31" s="48">
        <f>AK21*Inputs!$D$142</f>
        <v/>
      </c>
      <c r="AL31" s="48">
        <f>AL21*Inputs!$D$142</f>
        <v/>
      </c>
      <c r="AM31" s="48">
        <f>AM21*Inputs!$D$142</f>
        <v/>
      </c>
      <c r="AN31" s="48">
        <f>AN21*Inputs!$D$142</f>
        <v/>
      </c>
      <c r="AO31" s="48">
        <f>AO21*Inputs!$D$142</f>
        <v/>
      </c>
      <c r="AP31" s="48">
        <f>AP21*Inputs!$D$142</f>
        <v/>
      </c>
      <c r="AQ31" s="48">
        <f>AQ21*Inputs!$D$142</f>
        <v/>
      </c>
      <c r="AR31" s="48">
        <f>AR21*Inputs!$D$142</f>
        <v/>
      </c>
      <c r="AS31" s="48">
        <f>AS21*Inputs!$D$142</f>
        <v/>
      </c>
      <c r="AT31" s="48">
        <f>AT21*Inputs!$D$142</f>
        <v/>
      </c>
      <c r="AU31" s="48">
        <f>AU21*Inputs!$D$142</f>
        <v/>
      </c>
      <c r="AV31" s="48">
        <f>AV21*Inputs!$D$142</f>
        <v/>
      </c>
      <c r="AW31" s="48">
        <f>AW21*Inputs!$D$142</f>
        <v/>
      </c>
      <c r="AX31" s="48">
        <f>AX21*Inputs!$D$142</f>
        <v/>
      </c>
      <c r="AY31" s="48">
        <f>AY21*Inputs!$D$142</f>
        <v/>
      </c>
      <c r="AZ31" s="48">
        <f>AZ21*Inputs!$D$142</f>
        <v/>
      </c>
      <c r="BA31" s="48">
        <f>BA21*Inputs!$D$142</f>
        <v/>
      </c>
      <c r="BB31" s="48">
        <f>BB21*Inputs!$D$142</f>
        <v/>
      </c>
      <c r="BC31" s="48">
        <f>BC21*Inputs!$D$142</f>
        <v/>
      </c>
      <c r="BD31" s="48">
        <f>BD21*Inputs!$D$142</f>
        <v/>
      </c>
      <c r="BE31" s="48">
        <f>BE21*Inputs!$D$142</f>
        <v/>
      </c>
      <c r="BF31" s="48">
        <f>BF21*Inputs!$D$142</f>
        <v/>
      </c>
      <c r="BG31" s="48">
        <f>BG21*Inputs!$D$142</f>
        <v/>
      </c>
      <c r="BH31" s="48">
        <f>BH21*Inputs!$D$142</f>
        <v/>
      </c>
      <c r="BI31" s="48">
        <f>BI21*Inputs!$D$142</f>
        <v/>
      </c>
      <c r="BJ31" s="48">
        <f>BJ21*Inputs!$D$142</f>
        <v/>
      </c>
      <c r="BK31" s="48">
        <f>BK21*Inputs!$D$142</f>
        <v/>
      </c>
      <c r="BM31" s="91">
        <f>SUM(D31:O31)</f>
        <v/>
      </c>
      <c r="BN31" s="91">
        <f>SUM(P31:AA31)</f>
        <v/>
      </c>
      <c r="BO31" s="91">
        <f>SUM(AB31:AM31)</f>
        <v/>
      </c>
      <c r="BP31" s="91">
        <f>SUM(AN31:AY31)</f>
        <v/>
      </c>
      <c r="BQ31" s="91">
        <f>SUM(AZ31:BK31)</f>
        <v/>
      </c>
    </row>
  </sheetData>
  <pageMargins left="0.75" right="0.75" top="1" bottom="1" header="0.5" footer="0.5"/>
</worksheet>
</file>

<file path=xl/worksheets/sheet7.xml><?xml version="1.0" encoding="utf-8"?>
<worksheet xmlns="http://schemas.openxmlformats.org/spreadsheetml/2006/main">
  <sheetPr>
    <tabColor rgb="FF0070C0"/>
    <outlinePr summaryBelow="1" summaryRight="1"/>
    <pageSetUpPr/>
  </sheetPr>
  <dimension ref="A1:BQ46"/>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Profit and Loss</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REVENUE</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18" t="inlineStr">
        <is>
          <t xml:space="preserve">    Core revenue</t>
        </is>
      </c>
      <c r="C10" s="19" t="inlineStr">
        <is>
          <t>$</t>
        </is>
      </c>
      <c r="D10" s="51">
        <f>Inputs!$D$9/12</f>
        <v/>
      </c>
      <c r="E10" s="51">
        <f>'Rev-ARR Bridge'!D25/12</f>
        <v/>
      </c>
      <c r="F10" s="51">
        <f>'Rev-ARR Bridge'!E25/12</f>
        <v/>
      </c>
      <c r="G10" s="51">
        <f>'Rev-ARR Bridge'!F25/12</f>
        <v/>
      </c>
      <c r="H10" s="51">
        <f>'Rev-ARR Bridge'!G25/12</f>
        <v/>
      </c>
      <c r="I10" s="51">
        <f>'Rev-ARR Bridge'!H25/12</f>
        <v/>
      </c>
      <c r="J10" s="51">
        <f>'Rev-ARR Bridge'!I25/12</f>
        <v/>
      </c>
      <c r="K10" s="51">
        <f>'Rev-ARR Bridge'!J25/12</f>
        <v/>
      </c>
      <c r="L10" s="51">
        <f>'Rev-ARR Bridge'!K25/12</f>
        <v/>
      </c>
      <c r="M10" s="51">
        <f>'Rev-ARR Bridge'!L25/12</f>
        <v/>
      </c>
      <c r="N10" s="51">
        <f>'Rev-ARR Bridge'!M25/12</f>
        <v/>
      </c>
      <c r="O10" s="51">
        <f>'Rev-ARR Bridge'!N25/12</f>
        <v/>
      </c>
      <c r="P10" s="51">
        <f>'Rev-ARR Bridge'!O25/12</f>
        <v/>
      </c>
      <c r="Q10" s="51">
        <f>'Rev-ARR Bridge'!P25/12</f>
        <v/>
      </c>
      <c r="R10" s="51">
        <f>'Rev-ARR Bridge'!Q25/12</f>
        <v/>
      </c>
      <c r="S10" s="51">
        <f>'Rev-ARR Bridge'!R25/12</f>
        <v/>
      </c>
      <c r="T10" s="51">
        <f>'Rev-ARR Bridge'!S25/12</f>
        <v/>
      </c>
      <c r="U10" s="51">
        <f>'Rev-ARR Bridge'!T25/12</f>
        <v/>
      </c>
      <c r="V10" s="51">
        <f>'Rev-ARR Bridge'!U25/12</f>
        <v/>
      </c>
      <c r="W10" s="51">
        <f>'Rev-ARR Bridge'!V25/12</f>
        <v/>
      </c>
      <c r="X10" s="51">
        <f>'Rev-ARR Bridge'!W25/12</f>
        <v/>
      </c>
      <c r="Y10" s="51">
        <f>'Rev-ARR Bridge'!X25/12</f>
        <v/>
      </c>
      <c r="Z10" s="51">
        <f>'Rev-ARR Bridge'!Y25/12</f>
        <v/>
      </c>
      <c r="AA10" s="51">
        <f>'Rev-ARR Bridge'!Z25/12</f>
        <v/>
      </c>
      <c r="AB10" s="51">
        <f>'Rev-ARR Bridge'!AA25/12</f>
        <v/>
      </c>
      <c r="AC10" s="51">
        <f>'Rev-ARR Bridge'!AB25/12</f>
        <v/>
      </c>
      <c r="AD10" s="51">
        <f>'Rev-ARR Bridge'!AC25/12</f>
        <v/>
      </c>
      <c r="AE10" s="51">
        <f>'Rev-ARR Bridge'!AD25/12</f>
        <v/>
      </c>
      <c r="AF10" s="51">
        <f>'Rev-ARR Bridge'!AE25/12</f>
        <v/>
      </c>
      <c r="AG10" s="51">
        <f>'Rev-ARR Bridge'!AF25/12</f>
        <v/>
      </c>
      <c r="AH10" s="51">
        <f>'Rev-ARR Bridge'!AG25/12</f>
        <v/>
      </c>
      <c r="AI10" s="51">
        <f>'Rev-ARR Bridge'!AH25/12</f>
        <v/>
      </c>
      <c r="AJ10" s="51">
        <f>'Rev-ARR Bridge'!AI25/12</f>
        <v/>
      </c>
      <c r="AK10" s="51">
        <f>'Rev-ARR Bridge'!AJ25/12</f>
        <v/>
      </c>
      <c r="AL10" s="51">
        <f>'Rev-ARR Bridge'!AK25/12</f>
        <v/>
      </c>
      <c r="AM10" s="51">
        <f>'Rev-ARR Bridge'!AL25/12</f>
        <v/>
      </c>
      <c r="AN10" s="51">
        <f>'Rev-ARR Bridge'!AM25/12</f>
        <v/>
      </c>
      <c r="AO10" s="51">
        <f>'Rev-ARR Bridge'!AN25/12</f>
        <v/>
      </c>
      <c r="AP10" s="51">
        <f>'Rev-ARR Bridge'!AO25/12</f>
        <v/>
      </c>
      <c r="AQ10" s="51">
        <f>'Rev-ARR Bridge'!AP25/12</f>
        <v/>
      </c>
      <c r="AR10" s="51">
        <f>'Rev-ARR Bridge'!AQ25/12</f>
        <v/>
      </c>
      <c r="AS10" s="51">
        <f>'Rev-ARR Bridge'!AR25/12</f>
        <v/>
      </c>
      <c r="AT10" s="51">
        <f>'Rev-ARR Bridge'!AS25/12</f>
        <v/>
      </c>
      <c r="AU10" s="51">
        <f>'Rev-ARR Bridge'!AT25/12</f>
        <v/>
      </c>
      <c r="AV10" s="51">
        <f>'Rev-ARR Bridge'!AU25/12</f>
        <v/>
      </c>
      <c r="AW10" s="51">
        <f>'Rev-ARR Bridge'!AV25/12</f>
        <v/>
      </c>
      <c r="AX10" s="51">
        <f>'Rev-ARR Bridge'!AW25/12</f>
        <v/>
      </c>
      <c r="AY10" s="51">
        <f>'Rev-ARR Bridge'!AX25/12</f>
        <v/>
      </c>
      <c r="AZ10" s="51">
        <f>'Rev-ARR Bridge'!AY25/12</f>
        <v/>
      </c>
      <c r="BA10" s="51">
        <f>'Rev-ARR Bridge'!AZ25/12</f>
        <v/>
      </c>
      <c r="BB10" s="51">
        <f>'Rev-ARR Bridge'!BA25/12</f>
        <v/>
      </c>
      <c r="BC10" s="51">
        <f>'Rev-ARR Bridge'!BB25/12</f>
        <v/>
      </c>
      <c r="BD10" s="51">
        <f>'Rev-ARR Bridge'!BC25/12</f>
        <v/>
      </c>
      <c r="BE10" s="51">
        <f>'Rev-ARR Bridge'!BD25/12</f>
        <v/>
      </c>
      <c r="BF10" s="51">
        <f>'Rev-ARR Bridge'!BE25/12</f>
        <v/>
      </c>
      <c r="BG10" s="51">
        <f>'Rev-ARR Bridge'!BF25/12</f>
        <v/>
      </c>
      <c r="BH10" s="51">
        <f>'Rev-ARR Bridge'!BG25/12</f>
        <v/>
      </c>
      <c r="BI10" s="51">
        <f>'Rev-ARR Bridge'!BH25/12</f>
        <v/>
      </c>
      <c r="BJ10" s="51">
        <f>'Rev-ARR Bridge'!BI25/12</f>
        <v/>
      </c>
      <c r="BK10" s="51">
        <f>'Rev-ARR Bridge'!BJ25/12</f>
        <v/>
      </c>
      <c r="BM10" s="94">
        <f>SUM(D10:O10)</f>
        <v/>
      </c>
      <c r="BN10" s="94">
        <f>SUM(P10:AA10)</f>
        <v/>
      </c>
      <c r="BO10" s="94">
        <f>SUM(AB10:AM10)</f>
        <v/>
      </c>
      <c r="BP10" s="94">
        <f>SUM(AN10:AY10)</f>
        <v/>
      </c>
      <c r="BQ10" s="94">
        <f>SUM(AZ10:BK10)</f>
        <v/>
      </c>
    </row>
    <row r="11">
      <c r="B11" s="96" t="inlineStr">
        <is>
          <t xml:space="preserve">    Self serve revenue, memo</t>
        </is>
      </c>
      <c r="C11" s="19" t="inlineStr">
        <is>
          <t>$</t>
        </is>
      </c>
      <c r="D11" s="51">
        <f>Inputs!$D$17/12</f>
        <v/>
      </c>
      <c r="E11" s="51">
        <f>'Rev-ARR Bridge'!D24/12</f>
        <v/>
      </c>
      <c r="F11" s="51">
        <f>'Rev-ARR Bridge'!E24/12</f>
        <v/>
      </c>
      <c r="G11" s="51">
        <f>'Rev-ARR Bridge'!F24/12</f>
        <v/>
      </c>
      <c r="H11" s="51">
        <f>'Rev-ARR Bridge'!G24/12</f>
        <v/>
      </c>
      <c r="I11" s="51">
        <f>'Rev-ARR Bridge'!H24/12</f>
        <v/>
      </c>
      <c r="J11" s="51">
        <f>'Rev-ARR Bridge'!I24/12</f>
        <v/>
      </c>
      <c r="K11" s="51">
        <f>'Rev-ARR Bridge'!J24/12</f>
        <v/>
      </c>
      <c r="L11" s="51">
        <f>'Rev-ARR Bridge'!K24/12</f>
        <v/>
      </c>
      <c r="M11" s="51">
        <f>'Rev-ARR Bridge'!L24/12</f>
        <v/>
      </c>
      <c r="N11" s="51">
        <f>'Rev-ARR Bridge'!M24/12</f>
        <v/>
      </c>
      <c r="O11" s="51">
        <f>'Rev-ARR Bridge'!N24/12</f>
        <v/>
      </c>
      <c r="P11" s="51">
        <f>'Rev-ARR Bridge'!O24/12</f>
        <v/>
      </c>
      <c r="Q11" s="51">
        <f>'Rev-ARR Bridge'!P24/12</f>
        <v/>
      </c>
      <c r="R11" s="51">
        <f>'Rev-ARR Bridge'!Q24/12</f>
        <v/>
      </c>
      <c r="S11" s="51">
        <f>'Rev-ARR Bridge'!R24/12</f>
        <v/>
      </c>
      <c r="T11" s="51">
        <f>'Rev-ARR Bridge'!S24/12</f>
        <v/>
      </c>
      <c r="U11" s="51">
        <f>'Rev-ARR Bridge'!T24/12</f>
        <v/>
      </c>
      <c r="V11" s="51">
        <f>'Rev-ARR Bridge'!U24/12</f>
        <v/>
      </c>
      <c r="W11" s="51">
        <f>'Rev-ARR Bridge'!V24/12</f>
        <v/>
      </c>
      <c r="X11" s="51">
        <f>'Rev-ARR Bridge'!W24/12</f>
        <v/>
      </c>
      <c r="Y11" s="51">
        <f>'Rev-ARR Bridge'!X24/12</f>
        <v/>
      </c>
      <c r="Z11" s="51">
        <f>'Rev-ARR Bridge'!Y24/12</f>
        <v/>
      </c>
      <c r="AA11" s="51">
        <f>'Rev-ARR Bridge'!Z24/12</f>
        <v/>
      </c>
      <c r="AB11" s="51">
        <f>'Rev-ARR Bridge'!AA24/12</f>
        <v/>
      </c>
      <c r="AC11" s="51">
        <f>'Rev-ARR Bridge'!AB24/12</f>
        <v/>
      </c>
      <c r="AD11" s="51">
        <f>'Rev-ARR Bridge'!AC24/12</f>
        <v/>
      </c>
      <c r="AE11" s="51">
        <f>'Rev-ARR Bridge'!AD24/12</f>
        <v/>
      </c>
      <c r="AF11" s="51">
        <f>'Rev-ARR Bridge'!AE24/12</f>
        <v/>
      </c>
      <c r="AG11" s="51">
        <f>'Rev-ARR Bridge'!AF24/12</f>
        <v/>
      </c>
      <c r="AH11" s="51">
        <f>'Rev-ARR Bridge'!AG24/12</f>
        <v/>
      </c>
      <c r="AI11" s="51">
        <f>'Rev-ARR Bridge'!AH24/12</f>
        <v/>
      </c>
      <c r="AJ11" s="51">
        <f>'Rev-ARR Bridge'!AI24/12</f>
        <v/>
      </c>
      <c r="AK11" s="51">
        <f>'Rev-ARR Bridge'!AJ24/12</f>
        <v/>
      </c>
      <c r="AL11" s="51">
        <f>'Rev-ARR Bridge'!AK24/12</f>
        <v/>
      </c>
      <c r="AM11" s="51">
        <f>'Rev-ARR Bridge'!AL24/12</f>
        <v/>
      </c>
      <c r="AN11" s="51">
        <f>'Rev-ARR Bridge'!AM24/12</f>
        <v/>
      </c>
      <c r="AO11" s="51">
        <f>'Rev-ARR Bridge'!AN24/12</f>
        <v/>
      </c>
      <c r="AP11" s="51">
        <f>'Rev-ARR Bridge'!AO24/12</f>
        <v/>
      </c>
      <c r="AQ11" s="51">
        <f>'Rev-ARR Bridge'!AP24/12</f>
        <v/>
      </c>
      <c r="AR11" s="51">
        <f>'Rev-ARR Bridge'!AQ24/12</f>
        <v/>
      </c>
      <c r="AS11" s="51">
        <f>'Rev-ARR Bridge'!AR24/12</f>
        <v/>
      </c>
      <c r="AT11" s="51">
        <f>'Rev-ARR Bridge'!AS24/12</f>
        <v/>
      </c>
      <c r="AU11" s="51">
        <f>'Rev-ARR Bridge'!AT24/12</f>
        <v/>
      </c>
      <c r="AV11" s="51">
        <f>'Rev-ARR Bridge'!AU24/12</f>
        <v/>
      </c>
      <c r="AW11" s="51">
        <f>'Rev-ARR Bridge'!AV24/12</f>
        <v/>
      </c>
      <c r="AX11" s="51">
        <f>'Rev-ARR Bridge'!AW24/12</f>
        <v/>
      </c>
      <c r="AY11" s="51">
        <f>'Rev-ARR Bridge'!AX24/12</f>
        <v/>
      </c>
      <c r="AZ11" s="51">
        <f>'Rev-ARR Bridge'!AY24/12</f>
        <v/>
      </c>
      <c r="BA11" s="51">
        <f>'Rev-ARR Bridge'!AZ24/12</f>
        <v/>
      </c>
      <c r="BB11" s="51">
        <f>'Rev-ARR Bridge'!BA24/12</f>
        <v/>
      </c>
      <c r="BC11" s="51">
        <f>'Rev-ARR Bridge'!BB24/12</f>
        <v/>
      </c>
      <c r="BD11" s="51">
        <f>'Rev-ARR Bridge'!BC24/12</f>
        <v/>
      </c>
      <c r="BE11" s="51">
        <f>'Rev-ARR Bridge'!BD24/12</f>
        <v/>
      </c>
      <c r="BF11" s="51">
        <f>'Rev-ARR Bridge'!BE24/12</f>
        <v/>
      </c>
      <c r="BG11" s="51">
        <f>'Rev-ARR Bridge'!BF24/12</f>
        <v/>
      </c>
      <c r="BH11" s="51">
        <f>'Rev-ARR Bridge'!BG24/12</f>
        <v/>
      </c>
      <c r="BI11" s="51">
        <f>'Rev-ARR Bridge'!BH24/12</f>
        <v/>
      </c>
      <c r="BJ11" s="51">
        <f>'Rev-ARR Bridge'!BI24/12</f>
        <v/>
      </c>
      <c r="BK11" s="51">
        <f>'Rev-ARR Bridge'!BJ24/12</f>
        <v/>
      </c>
      <c r="BM11" s="95" t="n"/>
      <c r="BN11" s="95" t="n"/>
      <c r="BO11" s="95" t="n"/>
      <c r="BP11" s="95" t="n"/>
      <c r="BQ11" s="95" t="n"/>
    </row>
    <row r="12">
      <c r="B12" s="18" t="inlineStr">
        <is>
          <t xml:space="preserve">    Agents revenue</t>
        </is>
      </c>
      <c r="C12" s="19" t="inlineStr">
        <is>
          <t>$</t>
        </is>
      </c>
      <c r="D12" s="51">
        <f>0</f>
        <v/>
      </c>
      <c r="E12" s="51">
        <f>'Rev-ARR Bridge'!D21/12</f>
        <v/>
      </c>
      <c r="F12" s="51">
        <f>'Rev-ARR Bridge'!E21/12</f>
        <v/>
      </c>
      <c r="G12" s="51">
        <f>'Rev-ARR Bridge'!F21/12</f>
        <v/>
      </c>
      <c r="H12" s="51">
        <f>'Rev-ARR Bridge'!G21/12</f>
        <v/>
      </c>
      <c r="I12" s="51">
        <f>'Rev-ARR Bridge'!H21/12</f>
        <v/>
      </c>
      <c r="J12" s="51">
        <f>'Rev-ARR Bridge'!I21/12</f>
        <v/>
      </c>
      <c r="K12" s="51">
        <f>'Rev-ARR Bridge'!J21/12</f>
        <v/>
      </c>
      <c r="L12" s="51">
        <f>'Rev-ARR Bridge'!K21/12</f>
        <v/>
      </c>
      <c r="M12" s="51">
        <f>'Rev-ARR Bridge'!L21/12</f>
        <v/>
      </c>
      <c r="N12" s="51">
        <f>'Rev-ARR Bridge'!M21/12</f>
        <v/>
      </c>
      <c r="O12" s="51">
        <f>'Rev-ARR Bridge'!N21/12</f>
        <v/>
      </c>
      <c r="P12" s="51">
        <f>'Rev-ARR Bridge'!O21/12</f>
        <v/>
      </c>
      <c r="Q12" s="51">
        <f>'Rev-ARR Bridge'!P21/12</f>
        <v/>
      </c>
      <c r="R12" s="51">
        <f>'Rev-ARR Bridge'!Q21/12</f>
        <v/>
      </c>
      <c r="S12" s="51">
        <f>'Rev-ARR Bridge'!R21/12</f>
        <v/>
      </c>
      <c r="T12" s="51">
        <f>'Rev-ARR Bridge'!S21/12</f>
        <v/>
      </c>
      <c r="U12" s="51">
        <f>'Rev-ARR Bridge'!T21/12</f>
        <v/>
      </c>
      <c r="V12" s="51">
        <f>'Rev-ARR Bridge'!U21/12</f>
        <v/>
      </c>
      <c r="W12" s="51">
        <f>'Rev-ARR Bridge'!V21/12</f>
        <v/>
      </c>
      <c r="X12" s="51">
        <f>'Rev-ARR Bridge'!W21/12</f>
        <v/>
      </c>
      <c r="Y12" s="51">
        <f>'Rev-ARR Bridge'!X21/12</f>
        <v/>
      </c>
      <c r="Z12" s="51">
        <f>'Rev-ARR Bridge'!Y21/12</f>
        <v/>
      </c>
      <c r="AA12" s="51">
        <f>'Rev-ARR Bridge'!Z21/12</f>
        <v/>
      </c>
      <c r="AB12" s="51">
        <f>'Rev-ARR Bridge'!AA21/12</f>
        <v/>
      </c>
      <c r="AC12" s="51">
        <f>'Rev-ARR Bridge'!AB21/12</f>
        <v/>
      </c>
      <c r="AD12" s="51">
        <f>'Rev-ARR Bridge'!AC21/12</f>
        <v/>
      </c>
      <c r="AE12" s="51">
        <f>'Rev-ARR Bridge'!AD21/12</f>
        <v/>
      </c>
      <c r="AF12" s="51">
        <f>'Rev-ARR Bridge'!AE21/12</f>
        <v/>
      </c>
      <c r="AG12" s="51">
        <f>'Rev-ARR Bridge'!AF21/12</f>
        <v/>
      </c>
      <c r="AH12" s="51">
        <f>'Rev-ARR Bridge'!AG21/12</f>
        <v/>
      </c>
      <c r="AI12" s="51">
        <f>'Rev-ARR Bridge'!AH21/12</f>
        <v/>
      </c>
      <c r="AJ12" s="51">
        <f>'Rev-ARR Bridge'!AI21/12</f>
        <v/>
      </c>
      <c r="AK12" s="51">
        <f>'Rev-ARR Bridge'!AJ21/12</f>
        <v/>
      </c>
      <c r="AL12" s="51">
        <f>'Rev-ARR Bridge'!AK21/12</f>
        <v/>
      </c>
      <c r="AM12" s="51">
        <f>'Rev-ARR Bridge'!AL21/12</f>
        <v/>
      </c>
      <c r="AN12" s="51">
        <f>'Rev-ARR Bridge'!AM21/12</f>
        <v/>
      </c>
      <c r="AO12" s="51">
        <f>'Rev-ARR Bridge'!AN21/12</f>
        <v/>
      </c>
      <c r="AP12" s="51">
        <f>'Rev-ARR Bridge'!AO21/12</f>
        <v/>
      </c>
      <c r="AQ12" s="51">
        <f>'Rev-ARR Bridge'!AP21/12</f>
        <v/>
      </c>
      <c r="AR12" s="51">
        <f>'Rev-ARR Bridge'!AQ21/12</f>
        <v/>
      </c>
      <c r="AS12" s="51">
        <f>'Rev-ARR Bridge'!AR21/12</f>
        <v/>
      </c>
      <c r="AT12" s="51">
        <f>'Rev-ARR Bridge'!AS21/12</f>
        <v/>
      </c>
      <c r="AU12" s="51">
        <f>'Rev-ARR Bridge'!AT21/12</f>
        <v/>
      </c>
      <c r="AV12" s="51">
        <f>'Rev-ARR Bridge'!AU21/12</f>
        <v/>
      </c>
      <c r="AW12" s="51">
        <f>'Rev-ARR Bridge'!AV21/12</f>
        <v/>
      </c>
      <c r="AX12" s="51">
        <f>'Rev-ARR Bridge'!AW21/12</f>
        <v/>
      </c>
      <c r="AY12" s="51">
        <f>'Rev-ARR Bridge'!AX21/12</f>
        <v/>
      </c>
      <c r="AZ12" s="51">
        <f>'Rev-ARR Bridge'!AY21/12</f>
        <v/>
      </c>
      <c r="BA12" s="51">
        <f>'Rev-ARR Bridge'!AZ21/12</f>
        <v/>
      </c>
      <c r="BB12" s="51">
        <f>'Rev-ARR Bridge'!BA21/12</f>
        <v/>
      </c>
      <c r="BC12" s="51">
        <f>'Rev-ARR Bridge'!BB21/12</f>
        <v/>
      </c>
      <c r="BD12" s="51">
        <f>'Rev-ARR Bridge'!BC21/12</f>
        <v/>
      </c>
      <c r="BE12" s="51">
        <f>'Rev-ARR Bridge'!BD21/12</f>
        <v/>
      </c>
      <c r="BF12" s="51">
        <f>'Rev-ARR Bridge'!BE21/12</f>
        <v/>
      </c>
      <c r="BG12" s="51">
        <f>'Rev-ARR Bridge'!BF21/12</f>
        <v/>
      </c>
      <c r="BH12" s="51">
        <f>'Rev-ARR Bridge'!BG21/12</f>
        <v/>
      </c>
      <c r="BI12" s="51">
        <f>'Rev-ARR Bridge'!BH21/12</f>
        <v/>
      </c>
      <c r="BJ12" s="51">
        <f>'Rev-ARR Bridge'!BI21/12</f>
        <v/>
      </c>
      <c r="BK12" s="51">
        <f>'Rev-ARR Bridge'!BJ21/12</f>
        <v/>
      </c>
      <c r="BM12" s="94">
        <f>SUM(D12:O12)</f>
        <v/>
      </c>
      <c r="BN12" s="94">
        <f>SUM(P12:AA12)</f>
        <v/>
      </c>
      <c r="BO12" s="94">
        <f>SUM(AB12:AM12)</f>
        <v/>
      </c>
      <c r="BP12" s="94">
        <f>SUM(AN12:AY12)</f>
        <v/>
      </c>
      <c r="BQ12" s="94">
        <f>SUM(AZ12:BK12)</f>
        <v/>
      </c>
    </row>
    <row r="13">
      <c r="B13" s="29" t="inlineStr">
        <is>
          <t xml:space="preserve">    Total revenue</t>
        </is>
      </c>
      <c r="C13" s="19" t="inlineStr">
        <is>
          <t>$</t>
        </is>
      </c>
      <c r="D13" s="46">
        <f>D10+D12</f>
        <v/>
      </c>
      <c r="E13" s="46">
        <f>E10+E12</f>
        <v/>
      </c>
      <c r="F13" s="46">
        <f>F10+F12</f>
        <v/>
      </c>
      <c r="G13" s="46">
        <f>G10+G12</f>
        <v/>
      </c>
      <c r="H13" s="46">
        <f>H10+H12</f>
        <v/>
      </c>
      <c r="I13" s="46">
        <f>I10+I12</f>
        <v/>
      </c>
      <c r="J13" s="46">
        <f>J10+J12</f>
        <v/>
      </c>
      <c r="K13" s="46">
        <f>K10+K12</f>
        <v/>
      </c>
      <c r="L13" s="46">
        <f>L10+L12</f>
        <v/>
      </c>
      <c r="M13" s="46">
        <f>M10+M12</f>
        <v/>
      </c>
      <c r="N13" s="46">
        <f>N10+N12</f>
        <v/>
      </c>
      <c r="O13" s="46">
        <f>O10+O12</f>
        <v/>
      </c>
      <c r="P13" s="46">
        <f>P10+P12</f>
        <v/>
      </c>
      <c r="Q13" s="46">
        <f>Q10+Q12</f>
        <v/>
      </c>
      <c r="R13" s="46">
        <f>R10+R12</f>
        <v/>
      </c>
      <c r="S13" s="46">
        <f>S10+S12</f>
        <v/>
      </c>
      <c r="T13" s="46">
        <f>T10+T12</f>
        <v/>
      </c>
      <c r="U13" s="46">
        <f>U10+U12</f>
        <v/>
      </c>
      <c r="V13" s="46">
        <f>V10+V12</f>
        <v/>
      </c>
      <c r="W13" s="46">
        <f>W10+W12</f>
        <v/>
      </c>
      <c r="X13" s="46">
        <f>X10+X12</f>
        <v/>
      </c>
      <c r="Y13" s="46">
        <f>Y10+Y12</f>
        <v/>
      </c>
      <c r="Z13" s="46">
        <f>Z10+Z12</f>
        <v/>
      </c>
      <c r="AA13" s="46">
        <f>AA10+AA12</f>
        <v/>
      </c>
      <c r="AB13" s="46">
        <f>AB10+AB12</f>
        <v/>
      </c>
      <c r="AC13" s="46">
        <f>AC10+AC12</f>
        <v/>
      </c>
      <c r="AD13" s="46">
        <f>AD10+AD12</f>
        <v/>
      </c>
      <c r="AE13" s="46">
        <f>AE10+AE12</f>
        <v/>
      </c>
      <c r="AF13" s="46">
        <f>AF10+AF12</f>
        <v/>
      </c>
      <c r="AG13" s="46">
        <f>AG10+AG12</f>
        <v/>
      </c>
      <c r="AH13" s="46">
        <f>AH10+AH12</f>
        <v/>
      </c>
      <c r="AI13" s="46">
        <f>AI10+AI12</f>
        <v/>
      </c>
      <c r="AJ13" s="46">
        <f>AJ10+AJ12</f>
        <v/>
      </c>
      <c r="AK13" s="46">
        <f>AK10+AK12</f>
        <v/>
      </c>
      <c r="AL13" s="46">
        <f>AL10+AL12</f>
        <v/>
      </c>
      <c r="AM13" s="46">
        <f>AM10+AM12</f>
        <v/>
      </c>
      <c r="AN13" s="46">
        <f>AN10+AN12</f>
        <v/>
      </c>
      <c r="AO13" s="46">
        <f>AO10+AO12</f>
        <v/>
      </c>
      <c r="AP13" s="46">
        <f>AP10+AP12</f>
        <v/>
      </c>
      <c r="AQ13" s="46">
        <f>AQ10+AQ12</f>
        <v/>
      </c>
      <c r="AR13" s="46">
        <f>AR10+AR12</f>
        <v/>
      </c>
      <c r="AS13" s="46">
        <f>AS10+AS12</f>
        <v/>
      </c>
      <c r="AT13" s="46">
        <f>AT10+AT12</f>
        <v/>
      </c>
      <c r="AU13" s="46">
        <f>AU10+AU12</f>
        <v/>
      </c>
      <c r="AV13" s="46">
        <f>AV10+AV12</f>
        <v/>
      </c>
      <c r="AW13" s="46">
        <f>AW10+AW12</f>
        <v/>
      </c>
      <c r="AX13" s="46">
        <f>AX10+AX12</f>
        <v/>
      </c>
      <c r="AY13" s="46">
        <f>AY10+AY12</f>
        <v/>
      </c>
      <c r="AZ13" s="46">
        <f>AZ10+AZ12</f>
        <v/>
      </c>
      <c r="BA13" s="46">
        <f>BA10+BA12</f>
        <v/>
      </c>
      <c r="BB13" s="46">
        <f>BB10+BB12</f>
        <v/>
      </c>
      <c r="BC13" s="46">
        <f>BC10+BC12</f>
        <v/>
      </c>
      <c r="BD13" s="46">
        <f>BD10+BD12</f>
        <v/>
      </c>
      <c r="BE13" s="46">
        <f>BE10+BE12</f>
        <v/>
      </c>
      <c r="BF13" s="46">
        <f>BF10+BF12</f>
        <v/>
      </c>
      <c r="BG13" s="46">
        <f>BG10+BG12</f>
        <v/>
      </c>
      <c r="BH13" s="46">
        <f>BH10+BH12</f>
        <v/>
      </c>
      <c r="BI13" s="46">
        <f>BI10+BI12</f>
        <v/>
      </c>
      <c r="BJ13" s="46">
        <f>BJ10+BJ12</f>
        <v/>
      </c>
      <c r="BK13" s="46">
        <f>BK10+BK12</f>
        <v/>
      </c>
      <c r="BM13" s="94">
        <f>SUM(D13:O13)</f>
        <v/>
      </c>
      <c r="BN13" s="94">
        <f>SUM(P13:AA13)</f>
        <v/>
      </c>
      <c r="BO13" s="94">
        <f>SUM(AB13:AM13)</f>
        <v/>
      </c>
      <c r="BP13" s="94">
        <f>SUM(AN13:AY13)</f>
        <v/>
      </c>
      <c r="BQ13" s="94">
        <f>SUM(AZ13:BK13)</f>
        <v/>
      </c>
    </row>
    <row r="14"/>
    <row r="15">
      <c r="B15" s="3" t="inlineStr">
        <is>
          <t>COST OF REVENUE</t>
        </is>
      </c>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c r="AX15" s="4" t="n"/>
      <c r="AY15" s="4" t="n"/>
      <c r="AZ15" s="4" t="n"/>
      <c r="BA15" s="4" t="n"/>
      <c r="BB15" s="4" t="n"/>
      <c r="BC15" s="4" t="n"/>
      <c r="BD15" s="4" t="n"/>
      <c r="BE15" s="4" t="n"/>
      <c r="BF15" s="4" t="n"/>
      <c r="BG15" s="4" t="n"/>
      <c r="BH15" s="4" t="n"/>
      <c r="BI15" s="4" t="n"/>
      <c r="BJ15" s="4" t="n"/>
      <c r="BK15" s="4" t="n"/>
      <c r="BL15" s="4" t="n"/>
      <c r="BM15" s="4" t="n"/>
      <c r="BN15" s="4" t="n"/>
      <c r="BO15" s="4" t="n"/>
      <c r="BP15" s="4" t="n"/>
      <c r="BQ15" s="4" t="n"/>
    </row>
    <row r="16">
      <c r="B16" s="18" t="inlineStr">
        <is>
          <t xml:space="preserve">    Queries per customer per month</t>
        </is>
      </c>
      <c r="C16" s="19" t="inlineStr">
        <is>
          <t>#</t>
        </is>
      </c>
      <c r="D16" s="56">
        <f>Inputs!$D$114*Inputs!$D$115*Inputs!$D$116*(1+((1+Inputs!$D$118)^(1/12)-1))^0</f>
        <v/>
      </c>
      <c r="E16" s="56">
        <f>Inputs!$D$114*Inputs!$D$115*Inputs!$D$116*(1+((1+Inputs!$D$118)^(1/12)-1))^1</f>
        <v/>
      </c>
      <c r="F16" s="56">
        <f>Inputs!$D$114*Inputs!$D$115*Inputs!$D$116*(1+((1+Inputs!$D$118)^(1/12)-1))^2</f>
        <v/>
      </c>
      <c r="G16" s="56">
        <f>Inputs!$D$114*Inputs!$D$115*Inputs!$D$116*(1+((1+Inputs!$D$118)^(1/12)-1))^3</f>
        <v/>
      </c>
      <c r="H16" s="56">
        <f>Inputs!$D$114*Inputs!$D$115*Inputs!$D$116*(1+((1+Inputs!$D$118)^(1/12)-1))^4</f>
        <v/>
      </c>
      <c r="I16" s="56">
        <f>Inputs!$D$114*Inputs!$D$115*Inputs!$D$116*(1+((1+Inputs!$D$118)^(1/12)-1))^5</f>
        <v/>
      </c>
      <c r="J16" s="56">
        <f>Inputs!$D$114*Inputs!$D$115*Inputs!$D$116*(1+((1+Inputs!$D$118)^(1/12)-1))^6</f>
        <v/>
      </c>
      <c r="K16" s="56">
        <f>Inputs!$D$114*Inputs!$D$115*Inputs!$D$116*(1+((1+Inputs!$D$118)^(1/12)-1))^7</f>
        <v/>
      </c>
      <c r="L16" s="56">
        <f>Inputs!$D$114*Inputs!$D$115*Inputs!$D$116*(1+((1+Inputs!$D$118)^(1/12)-1))^8</f>
        <v/>
      </c>
      <c r="M16" s="56">
        <f>Inputs!$D$114*Inputs!$D$115*Inputs!$D$116*(1+((1+Inputs!$D$118)^(1/12)-1))^9</f>
        <v/>
      </c>
      <c r="N16" s="56">
        <f>Inputs!$D$114*Inputs!$D$115*Inputs!$D$116*(1+((1+Inputs!$D$118)^(1/12)-1))^10</f>
        <v/>
      </c>
      <c r="O16" s="56">
        <f>Inputs!$D$114*Inputs!$D$115*Inputs!$D$116*(1+((1+Inputs!$D$118)^(1/12)-1))^11</f>
        <v/>
      </c>
      <c r="P16" s="56">
        <f>Inputs!$D$114*Inputs!$D$115*Inputs!$D$116*(1+((1+Inputs!$D$118)^(1/12)-1))^12</f>
        <v/>
      </c>
      <c r="Q16" s="56">
        <f>Inputs!$D$114*Inputs!$D$115*Inputs!$D$116*(1+((1+Inputs!$D$118)^(1/12)-1))^13</f>
        <v/>
      </c>
      <c r="R16" s="56">
        <f>Inputs!$D$114*Inputs!$D$115*Inputs!$D$116*(1+((1+Inputs!$D$118)^(1/12)-1))^14</f>
        <v/>
      </c>
      <c r="S16" s="56">
        <f>Inputs!$D$114*Inputs!$D$115*Inputs!$D$116*(1+((1+Inputs!$D$118)^(1/12)-1))^15</f>
        <v/>
      </c>
      <c r="T16" s="56">
        <f>Inputs!$D$114*Inputs!$D$115*Inputs!$D$116*(1+((1+Inputs!$D$118)^(1/12)-1))^16</f>
        <v/>
      </c>
      <c r="U16" s="56">
        <f>Inputs!$D$114*Inputs!$D$115*Inputs!$D$116*(1+((1+Inputs!$D$118)^(1/12)-1))^17</f>
        <v/>
      </c>
      <c r="V16" s="56">
        <f>Inputs!$D$114*Inputs!$D$115*Inputs!$D$116*(1+((1+Inputs!$D$118)^(1/12)-1))^18</f>
        <v/>
      </c>
      <c r="W16" s="56">
        <f>Inputs!$D$114*Inputs!$D$115*Inputs!$D$116*(1+((1+Inputs!$D$118)^(1/12)-1))^19</f>
        <v/>
      </c>
      <c r="X16" s="56">
        <f>Inputs!$D$114*Inputs!$D$115*Inputs!$D$116*(1+((1+Inputs!$D$118)^(1/12)-1))^20</f>
        <v/>
      </c>
      <c r="Y16" s="56">
        <f>Inputs!$D$114*Inputs!$D$115*Inputs!$D$116*(1+((1+Inputs!$D$118)^(1/12)-1))^21</f>
        <v/>
      </c>
      <c r="Z16" s="56">
        <f>Inputs!$D$114*Inputs!$D$115*Inputs!$D$116*(1+((1+Inputs!$D$118)^(1/12)-1))^22</f>
        <v/>
      </c>
      <c r="AA16" s="56">
        <f>Inputs!$D$114*Inputs!$D$115*Inputs!$D$116*(1+((1+Inputs!$D$118)^(1/12)-1))^23</f>
        <v/>
      </c>
      <c r="AB16" s="56">
        <f>Inputs!$D$114*Inputs!$D$115*Inputs!$D$116*(1+((1+Inputs!$D$118)^(1/12)-1))^24</f>
        <v/>
      </c>
      <c r="AC16" s="56">
        <f>Inputs!$D$114*Inputs!$D$115*Inputs!$D$116*(1+((1+Inputs!$D$118)^(1/12)-1))^25</f>
        <v/>
      </c>
      <c r="AD16" s="56">
        <f>Inputs!$D$114*Inputs!$D$115*Inputs!$D$116*(1+((1+Inputs!$D$118)^(1/12)-1))^26</f>
        <v/>
      </c>
      <c r="AE16" s="56">
        <f>Inputs!$D$114*Inputs!$D$115*Inputs!$D$116*(1+((1+Inputs!$D$118)^(1/12)-1))^27</f>
        <v/>
      </c>
      <c r="AF16" s="56">
        <f>Inputs!$D$114*Inputs!$D$115*Inputs!$D$116*(1+((1+Inputs!$D$118)^(1/12)-1))^28</f>
        <v/>
      </c>
      <c r="AG16" s="56">
        <f>Inputs!$D$114*Inputs!$D$115*Inputs!$D$116*(1+((1+Inputs!$D$118)^(1/12)-1))^29</f>
        <v/>
      </c>
      <c r="AH16" s="56">
        <f>Inputs!$D$114*Inputs!$D$115*Inputs!$D$116*(1+((1+Inputs!$D$118)^(1/12)-1))^30</f>
        <v/>
      </c>
      <c r="AI16" s="56">
        <f>Inputs!$D$114*Inputs!$D$115*Inputs!$D$116*(1+((1+Inputs!$D$118)^(1/12)-1))^31</f>
        <v/>
      </c>
      <c r="AJ16" s="56">
        <f>Inputs!$D$114*Inputs!$D$115*Inputs!$D$116*(1+((1+Inputs!$D$118)^(1/12)-1))^32</f>
        <v/>
      </c>
      <c r="AK16" s="56">
        <f>Inputs!$D$114*Inputs!$D$115*Inputs!$D$116*(1+((1+Inputs!$D$118)^(1/12)-1))^33</f>
        <v/>
      </c>
      <c r="AL16" s="56">
        <f>Inputs!$D$114*Inputs!$D$115*Inputs!$D$116*(1+((1+Inputs!$D$118)^(1/12)-1))^34</f>
        <v/>
      </c>
      <c r="AM16" s="56">
        <f>Inputs!$D$114*Inputs!$D$115*Inputs!$D$116*(1+((1+Inputs!$D$118)^(1/12)-1))^35</f>
        <v/>
      </c>
      <c r="AN16" s="56">
        <f>Inputs!$D$114*Inputs!$D$115*Inputs!$D$116*(1+((1+Inputs!$D$118)^(1/12)-1))^36</f>
        <v/>
      </c>
      <c r="AO16" s="56">
        <f>Inputs!$D$114*Inputs!$D$115*Inputs!$D$116*(1+((1+Inputs!$D$118)^(1/12)-1))^37</f>
        <v/>
      </c>
      <c r="AP16" s="56">
        <f>Inputs!$D$114*Inputs!$D$115*Inputs!$D$116*(1+((1+Inputs!$D$118)^(1/12)-1))^38</f>
        <v/>
      </c>
      <c r="AQ16" s="56">
        <f>Inputs!$D$114*Inputs!$D$115*Inputs!$D$116*(1+((1+Inputs!$D$118)^(1/12)-1))^39</f>
        <v/>
      </c>
      <c r="AR16" s="56">
        <f>Inputs!$D$114*Inputs!$D$115*Inputs!$D$116*(1+((1+Inputs!$D$118)^(1/12)-1))^40</f>
        <v/>
      </c>
      <c r="AS16" s="56">
        <f>Inputs!$D$114*Inputs!$D$115*Inputs!$D$116*(1+((1+Inputs!$D$118)^(1/12)-1))^41</f>
        <v/>
      </c>
      <c r="AT16" s="56">
        <f>Inputs!$D$114*Inputs!$D$115*Inputs!$D$116*(1+((1+Inputs!$D$118)^(1/12)-1))^42</f>
        <v/>
      </c>
      <c r="AU16" s="56">
        <f>Inputs!$D$114*Inputs!$D$115*Inputs!$D$116*(1+((1+Inputs!$D$118)^(1/12)-1))^43</f>
        <v/>
      </c>
      <c r="AV16" s="56">
        <f>Inputs!$D$114*Inputs!$D$115*Inputs!$D$116*(1+((1+Inputs!$D$118)^(1/12)-1))^44</f>
        <v/>
      </c>
      <c r="AW16" s="56">
        <f>Inputs!$D$114*Inputs!$D$115*Inputs!$D$116*(1+((1+Inputs!$D$118)^(1/12)-1))^45</f>
        <v/>
      </c>
      <c r="AX16" s="56">
        <f>Inputs!$D$114*Inputs!$D$115*Inputs!$D$116*(1+((1+Inputs!$D$118)^(1/12)-1))^46</f>
        <v/>
      </c>
      <c r="AY16" s="56">
        <f>Inputs!$D$114*Inputs!$D$115*Inputs!$D$116*(1+((1+Inputs!$D$118)^(1/12)-1))^47</f>
        <v/>
      </c>
      <c r="AZ16" s="56">
        <f>Inputs!$D$114*Inputs!$D$115*Inputs!$D$116*(1+((1+Inputs!$D$118)^(1/12)-1))^48</f>
        <v/>
      </c>
      <c r="BA16" s="56">
        <f>Inputs!$D$114*Inputs!$D$115*Inputs!$D$116*(1+((1+Inputs!$D$118)^(1/12)-1))^49</f>
        <v/>
      </c>
      <c r="BB16" s="56">
        <f>Inputs!$D$114*Inputs!$D$115*Inputs!$D$116*(1+((1+Inputs!$D$118)^(1/12)-1))^50</f>
        <v/>
      </c>
      <c r="BC16" s="56">
        <f>Inputs!$D$114*Inputs!$D$115*Inputs!$D$116*(1+((1+Inputs!$D$118)^(1/12)-1))^51</f>
        <v/>
      </c>
      <c r="BD16" s="56">
        <f>Inputs!$D$114*Inputs!$D$115*Inputs!$D$116*(1+((1+Inputs!$D$118)^(1/12)-1))^52</f>
        <v/>
      </c>
      <c r="BE16" s="56">
        <f>Inputs!$D$114*Inputs!$D$115*Inputs!$D$116*(1+((1+Inputs!$D$118)^(1/12)-1))^53</f>
        <v/>
      </c>
      <c r="BF16" s="56">
        <f>Inputs!$D$114*Inputs!$D$115*Inputs!$D$116*(1+((1+Inputs!$D$118)^(1/12)-1))^54</f>
        <v/>
      </c>
      <c r="BG16" s="56">
        <f>Inputs!$D$114*Inputs!$D$115*Inputs!$D$116*(1+((1+Inputs!$D$118)^(1/12)-1))^55</f>
        <v/>
      </c>
      <c r="BH16" s="56">
        <f>Inputs!$D$114*Inputs!$D$115*Inputs!$D$116*(1+((1+Inputs!$D$118)^(1/12)-1))^56</f>
        <v/>
      </c>
      <c r="BI16" s="56">
        <f>Inputs!$D$114*Inputs!$D$115*Inputs!$D$116*(1+((1+Inputs!$D$118)^(1/12)-1))^57</f>
        <v/>
      </c>
      <c r="BJ16" s="56">
        <f>Inputs!$D$114*Inputs!$D$115*Inputs!$D$116*(1+((1+Inputs!$D$118)^(1/12)-1))^58</f>
        <v/>
      </c>
      <c r="BK16" s="56">
        <f>Inputs!$D$114*Inputs!$D$115*Inputs!$D$116*(1+((1+Inputs!$D$118)^(1/12)-1))^59</f>
        <v/>
      </c>
    </row>
    <row r="17">
      <c r="B17" s="18" t="inlineStr">
        <is>
          <t xml:space="preserve">    Cost per query</t>
        </is>
      </c>
      <c r="C17" s="19" t="inlineStr">
        <is>
          <t>$</t>
        </is>
      </c>
      <c r="D17" s="57">
        <f>Inputs!$D$119*(1-Inputs!$D$120)^(0/12)</f>
        <v/>
      </c>
      <c r="E17" s="57">
        <f>Inputs!$D$119*(1-Inputs!$D$120)^(1/12)</f>
        <v/>
      </c>
      <c r="F17" s="57">
        <f>Inputs!$D$119*(1-Inputs!$D$120)^(2/12)</f>
        <v/>
      </c>
      <c r="G17" s="57">
        <f>Inputs!$D$119*(1-Inputs!$D$120)^(3/12)</f>
        <v/>
      </c>
      <c r="H17" s="57">
        <f>Inputs!$D$119*(1-Inputs!$D$120)^(4/12)</f>
        <v/>
      </c>
      <c r="I17" s="57">
        <f>Inputs!$D$119*(1-Inputs!$D$120)^(5/12)</f>
        <v/>
      </c>
      <c r="J17" s="57">
        <f>Inputs!$D$119*(1-Inputs!$D$120)^(6/12)</f>
        <v/>
      </c>
      <c r="K17" s="57">
        <f>Inputs!$D$119*(1-Inputs!$D$120)^(7/12)</f>
        <v/>
      </c>
      <c r="L17" s="57">
        <f>Inputs!$D$119*(1-Inputs!$D$120)^(8/12)</f>
        <v/>
      </c>
      <c r="M17" s="57">
        <f>Inputs!$D$119*(1-Inputs!$D$120)^(9/12)</f>
        <v/>
      </c>
      <c r="N17" s="57">
        <f>Inputs!$D$119*(1-Inputs!$D$120)^(10/12)</f>
        <v/>
      </c>
      <c r="O17" s="57">
        <f>Inputs!$D$119*(1-Inputs!$D$120)^(11/12)</f>
        <v/>
      </c>
      <c r="P17" s="57">
        <f>Inputs!$D$119*(1-Inputs!$D$120)^(12/12)</f>
        <v/>
      </c>
      <c r="Q17" s="57">
        <f>Inputs!$D$119*(1-Inputs!$D$120)^(13/12)</f>
        <v/>
      </c>
      <c r="R17" s="57">
        <f>Inputs!$D$119*(1-Inputs!$D$120)^(14/12)</f>
        <v/>
      </c>
      <c r="S17" s="57">
        <f>Inputs!$D$119*(1-Inputs!$D$120)^(15/12)</f>
        <v/>
      </c>
      <c r="T17" s="57">
        <f>Inputs!$D$119*(1-Inputs!$D$120)^(16/12)</f>
        <v/>
      </c>
      <c r="U17" s="57">
        <f>Inputs!$D$119*(1-Inputs!$D$120)^(17/12)</f>
        <v/>
      </c>
      <c r="V17" s="57">
        <f>Inputs!$D$119*(1-Inputs!$D$120)^(18/12)</f>
        <v/>
      </c>
      <c r="W17" s="57">
        <f>Inputs!$D$119*(1-Inputs!$D$120)^(19/12)</f>
        <v/>
      </c>
      <c r="X17" s="57">
        <f>Inputs!$D$119*(1-Inputs!$D$120)^(20/12)</f>
        <v/>
      </c>
      <c r="Y17" s="57">
        <f>Inputs!$D$119*(1-Inputs!$D$120)^(21/12)</f>
        <v/>
      </c>
      <c r="Z17" s="57">
        <f>Inputs!$D$119*(1-Inputs!$D$120)^(22/12)</f>
        <v/>
      </c>
      <c r="AA17" s="57">
        <f>Inputs!$D$119*(1-Inputs!$D$120)^(23/12)</f>
        <v/>
      </c>
      <c r="AB17" s="57">
        <f>Inputs!$D$119*(1-Inputs!$D$120)^(24/12)</f>
        <v/>
      </c>
      <c r="AC17" s="57">
        <f>Inputs!$D$119*(1-Inputs!$D$120)^(25/12)</f>
        <v/>
      </c>
      <c r="AD17" s="57">
        <f>Inputs!$D$119*(1-Inputs!$D$120)^(26/12)</f>
        <v/>
      </c>
      <c r="AE17" s="57">
        <f>Inputs!$D$119*(1-Inputs!$D$120)^(27/12)</f>
        <v/>
      </c>
      <c r="AF17" s="57">
        <f>Inputs!$D$119*(1-Inputs!$D$120)^(28/12)</f>
        <v/>
      </c>
      <c r="AG17" s="57">
        <f>Inputs!$D$119*(1-Inputs!$D$120)^(29/12)</f>
        <v/>
      </c>
      <c r="AH17" s="57">
        <f>Inputs!$D$119*(1-Inputs!$D$120)^(30/12)</f>
        <v/>
      </c>
      <c r="AI17" s="57">
        <f>Inputs!$D$119*(1-Inputs!$D$120)^(31/12)</f>
        <v/>
      </c>
      <c r="AJ17" s="57">
        <f>Inputs!$D$119*(1-Inputs!$D$120)^(32/12)</f>
        <v/>
      </c>
      <c r="AK17" s="57">
        <f>Inputs!$D$119*(1-Inputs!$D$120)^(33/12)</f>
        <v/>
      </c>
      <c r="AL17" s="57">
        <f>Inputs!$D$119*(1-Inputs!$D$120)^(34/12)</f>
        <v/>
      </c>
      <c r="AM17" s="57">
        <f>Inputs!$D$119*(1-Inputs!$D$120)^(35/12)</f>
        <v/>
      </c>
      <c r="AN17" s="57">
        <f>Inputs!$D$119*(1-Inputs!$D$120)^(36/12)</f>
        <v/>
      </c>
      <c r="AO17" s="57">
        <f>Inputs!$D$119*(1-Inputs!$D$120)^(37/12)</f>
        <v/>
      </c>
      <c r="AP17" s="57">
        <f>Inputs!$D$119*(1-Inputs!$D$120)^(38/12)</f>
        <v/>
      </c>
      <c r="AQ17" s="57">
        <f>Inputs!$D$119*(1-Inputs!$D$120)^(39/12)</f>
        <v/>
      </c>
      <c r="AR17" s="57">
        <f>Inputs!$D$119*(1-Inputs!$D$120)^(40/12)</f>
        <v/>
      </c>
      <c r="AS17" s="57">
        <f>Inputs!$D$119*(1-Inputs!$D$120)^(41/12)</f>
        <v/>
      </c>
      <c r="AT17" s="57">
        <f>Inputs!$D$119*(1-Inputs!$D$120)^(42/12)</f>
        <v/>
      </c>
      <c r="AU17" s="57">
        <f>Inputs!$D$119*(1-Inputs!$D$120)^(43/12)</f>
        <v/>
      </c>
      <c r="AV17" s="57">
        <f>Inputs!$D$119*(1-Inputs!$D$120)^(44/12)</f>
        <v/>
      </c>
      <c r="AW17" s="57">
        <f>Inputs!$D$119*(1-Inputs!$D$120)^(45/12)</f>
        <v/>
      </c>
      <c r="AX17" s="57">
        <f>Inputs!$D$119*(1-Inputs!$D$120)^(46/12)</f>
        <v/>
      </c>
      <c r="AY17" s="57">
        <f>Inputs!$D$119*(1-Inputs!$D$120)^(47/12)</f>
        <v/>
      </c>
      <c r="AZ17" s="57">
        <f>Inputs!$D$119*(1-Inputs!$D$120)^(48/12)</f>
        <v/>
      </c>
      <c r="BA17" s="57">
        <f>Inputs!$D$119*(1-Inputs!$D$120)^(49/12)</f>
        <v/>
      </c>
      <c r="BB17" s="57">
        <f>Inputs!$D$119*(1-Inputs!$D$120)^(50/12)</f>
        <v/>
      </c>
      <c r="BC17" s="57">
        <f>Inputs!$D$119*(1-Inputs!$D$120)^(51/12)</f>
        <v/>
      </c>
      <c r="BD17" s="57">
        <f>Inputs!$D$119*(1-Inputs!$D$120)^(52/12)</f>
        <v/>
      </c>
      <c r="BE17" s="57">
        <f>Inputs!$D$119*(1-Inputs!$D$120)^(53/12)</f>
        <v/>
      </c>
      <c r="BF17" s="57">
        <f>Inputs!$D$119*(1-Inputs!$D$120)^(54/12)</f>
        <v/>
      </c>
      <c r="BG17" s="57">
        <f>Inputs!$D$119*(1-Inputs!$D$120)^(55/12)</f>
        <v/>
      </c>
      <c r="BH17" s="57">
        <f>Inputs!$D$119*(1-Inputs!$D$120)^(56/12)</f>
        <v/>
      </c>
      <c r="BI17" s="57">
        <f>Inputs!$D$119*(1-Inputs!$D$120)^(57/12)</f>
        <v/>
      </c>
      <c r="BJ17" s="57">
        <f>Inputs!$D$119*(1-Inputs!$D$120)^(58/12)</f>
        <v/>
      </c>
      <c r="BK17" s="57">
        <f>Inputs!$D$119*(1-Inputs!$D$120)^(59/12)</f>
        <v/>
      </c>
    </row>
    <row r="18">
      <c r="B18" s="18" t="inlineStr">
        <is>
          <t xml:space="preserve">    Inference cost</t>
        </is>
      </c>
      <c r="C18" s="19" t="inlineStr">
        <is>
          <t>$</t>
        </is>
      </c>
      <c r="D18" s="48">
        <f>'Rev-ARR Bridge'!D17*D16*D17</f>
        <v/>
      </c>
      <c r="E18" s="48">
        <f>'Rev-ARR Bridge'!E17*E16*E17</f>
        <v/>
      </c>
      <c r="F18" s="48">
        <f>'Rev-ARR Bridge'!F17*F16*F17</f>
        <v/>
      </c>
      <c r="G18" s="48">
        <f>'Rev-ARR Bridge'!G17*G16*G17</f>
        <v/>
      </c>
      <c r="H18" s="48">
        <f>'Rev-ARR Bridge'!H17*H16*H17</f>
        <v/>
      </c>
      <c r="I18" s="48">
        <f>'Rev-ARR Bridge'!I17*I16*I17</f>
        <v/>
      </c>
      <c r="J18" s="48">
        <f>'Rev-ARR Bridge'!J17*J16*J17</f>
        <v/>
      </c>
      <c r="K18" s="48">
        <f>'Rev-ARR Bridge'!K17*K16*K17</f>
        <v/>
      </c>
      <c r="L18" s="48">
        <f>'Rev-ARR Bridge'!L17*L16*L17</f>
        <v/>
      </c>
      <c r="M18" s="48">
        <f>'Rev-ARR Bridge'!M17*M16*M17</f>
        <v/>
      </c>
      <c r="N18" s="48">
        <f>'Rev-ARR Bridge'!N17*N16*N17</f>
        <v/>
      </c>
      <c r="O18" s="48">
        <f>'Rev-ARR Bridge'!O17*O16*O17</f>
        <v/>
      </c>
      <c r="P18" s="48">
        <f>'Rev-ARR Bridge'!P17*P16*P17</f>
        <v/>
      </c>
      <c r="Q18" s="48">
        <f>'Rev-ARR Bridge'!Q17*Q16*Q17</f>
        <v/>
      </c>
      <c r="R18" s="48">
        <f>'Rev-ARR Bridge'!R17*R16*R17</f>
        <v/>
      </c>
      <c r="S18" s="48">
        <f>'Rev-ARR Bridge'!S17*S16*S17</f>
        <v/>
      </c>
      <c r="T18" s="48">
        <f>'Rev-ARR Bridge'!T17*T16*T17</f>
        <v/>
      </c>
      <c r="U18" s="48">
        <f>'Rev-ARR Bridge'!U17*U16*U17</f>
        <v/>
      </c>
      <c r="V18" s="48">
        <f>'Rev-ARR Bridge'!V17*V16*V17</f>
        <v/>
      </c>
      <c r="W18" s="48">
        <f>'Rev-ARR Bridge'!W17*W16*W17</f>
        <v/>
      </c>
      <c r="X18" s="48">
        <f>'Rev-ARR Bridge'!X17*X16*X17</f>
        <v/>
      </c>
      <c r="Y18" s="48">
        <f>'Rev-ARR Bridge'!Y17*Y16*Y17</f>
        <v/>
      </c>
      <c r="Z18" s="48">
        <f>'Rev-ARR Bridge'!Z17*Z16*Z17</f>
        <v/>
      </c>
      <c r="AA18" s="48">
        <f>'Rev-ARR Bridge'!AA17*AA16*AA17</f>
        <v/>
      </c>
      <c r="AB18" s="48">
        <f>'Rev-ARR Bridge'!AB17*AB16*AB17</f>
        <v/>
      </c>
      <c r="AC18" s="48">
        <f>'Rev-ARR Bridge'!AC17*AC16*AC17</f>
        <v/>
      </c>
      <c r="AD18" s="48">
        <f>'Rev-ARR Bridge'!AD17*AD16*AD17</f>
        <v/>
      </c>
      <c r="AE18" s="48">
        <f>'Rev-ARR Bridge'!AE17*AE16*AE17</f>
        <v/>
      </c>
      <c r="AF18" s="48">
        <f>'Rev-ARR Bridge'!AF17*AF16*AF17</f>
        <v/>
      </c>
      <c r="AG18" s="48">
        <f>'Rev-ARR Bridge'!AG17*AG16*AG17</f>
        <v/>
      </c>
      <c r="AH18" s="48">
        <f>'Rev-ARR Bridge'!AH17*AH16*AH17</f>
        <v/>
      </c>
      <c r="AI18" s="48">
        <f>'Rev-ARR Bridge'!AI17*AI16*AI17</f>
        <v/>
      </c>
      <c r="AJ18" s="48">
        <f>'Rev-ARR Bridge'!AJ17*AJ16*AJ17</f>
        <v/>
      </c>
      <c r="AK18" s="48">
        <f>'Rev-ARR Bridge'!AK17*AK16*AK17</f>
        <v/>
      </c>
      <c r="AL18" s="48">
        <f>'Rev-ARR Bridge'!AL17*AL16*AL17</f>
        <v/>
      </c>
      <c r="AM18" s="48">
        <f>'Rev-ARR Bridge'!AM17*AM16*AM17</f>
        <v/>
      </c>
      <c r="AN18" s="48">
        <f>'Rev-ARR Bridge'!AN17*AN16*AN17</f>
        <v/>
      </c>
      <c r="AO18" s="48">
        <f>'Rev-ARR Bridge'!AO17*AO16*AO17</f>
        <v/>
      </c>
      <c r="AP18" s="48">
        <f>'Rev-ARR Bridge'!AP17*AP16*AP17</f>
        <v/>
      </c>
      <c r="AQ18" s="48">
        <f>'Rev-ARR Bridge'!AQ17*AQ16*AQ17</f>
        <v/>
      </c>
      <c r="AR18" s="48">
        <f>'Rev-ARR Bridge'!AR17*AR16*AR17</f>
        <v/>
      </c>
      <c r="AS18" s="48">
        <f>'Rev-ARR Bridge'!AS17*AS16*AS17</f>
        <v/>
      </c>
      <c r="AT18" s="48">
        <f>'Rev-ARR Bridge'!AT17*AT16*AT17</f>
        <v/>
      </c>
      <c r="AU18" s="48">
        <f>'Rev-ARR Bridge'!AU17*AU16*AU17</f>
        <v/>
      </c>
      <c r="AV18" s="48">
        <f>'Rev-ARR Bridge'!AV17*AV16*AV17</f>
        <v/>
      </c>
      <c r="AW18" s="48">
        <f>'Rev-ARR Bridge'!AW17*AW16*AW17</f>
        <v/>
      </c>
      <c r="AX18" s="48">
        <f>'Rev-ARR Bridge'!AX17*AX16*AX17</f>
        <v/>
      </c>
      <c r="AY18" s="48">
        <f>'Rev-ARR Bridge'!AY17*AY16*AY17</f>
        <v/>
      </c>
      <c r="AZ18" s="48">
        <f>'Rev-ARR Bridge'!AZ17*AZ16*AZ17</f>
        <v/>
      </c>
      <c r="BA18" s="48">
        <f>'Rev-ARR Bridge'!BA17*BA16*BA17</f>
        <v/>
      </c>
      <c r="BB18" s="48">
        <f>'Rev-ARR Bridge'!BB17*BB16*BB17</f>
        <v/>
      </c>
      <c r="BC18" s="48">
        <f>'Rev-ARR Bridge'!BC17*BC16*BC17</f>
        <v/>
      </c>
      <c r="BD18" s="48">
        <f>'Rev-ARR Bridge'!BD17*BD16*BD17</f>
        <v/>
      </c>
      <c r="BE18" s="48">
        <f>'Rev-ARR Bridge'!BE17*BE16*BE17</f>
        <v/>
      </c>
      <c r="BF18" s="48">
        <f>'Rev-ARR Bridge'!BF17*BF16*BF17</f>
        <v/>
      </c>
      <c r="BG18" s="48">
        <f>'Rev-ARR Bridge'!BG17*BG16*BG17</f>
        <v/>
      </c>
      <c r="BH18" s="48">
        <f>'Rev-ARR Bridge'!BH17*BH16*BH17</f>
        <v/>
      </c>
      <c r="BI18" s="48">
        <f>'Rev-ARR Bridge'!BI17*BI16*BI17</f>
        <v/>
      </c>
      <c r="BJ18" s="48">
        <f>'Rev-ARR Bridge'!BJ17*BJ16*BJ17</f>
        <v/>
      </c>
      <c r="BK18" s="48">
        <f>'Rev-ARR Bridge'!BK17*BK16*BK17</f>
        <v/>
      </c>
      <c r="BM18" s="91">
        <f>SUM(D18:O18)</f>
        <v/>
      </c>
      <c r="BN18" s="91">
        <f>SUM(P18:AA18)</f>
        <v/>
      </c>
      <c r="BO18" s="91">
        <f>SUM(AB18:AM18)</f>
        <v/>
      </c>
      <c r="BP18" s="91">
        <f>SUM(AN18:AY18)</f>
        <v/>
      </c>
      <c r="BQ18" s="91">
        <f>SUM(AZ18:BK18)</f>
        <v/>
      </c>
    </row>
    <row r="19">
      <c r="B19" s="18" t="inlineStr">
        <is>
          <t xml:space="preserve">    Agents cost</t>
        </is>
      </c>
      <c r="C19" s="19" t="inlineStr">
        <is>
          <t>$</t>
        </is>
      </c>
      <c r="D19" s="51">
        <f>D12*INDEX(Inputs!$D$121:$H$121,1,D$6-2025)</f>
        <v/>
      </c>
      <c r="E19" s="51">
        <f>E12*INDEX(Inputs!$D$121:$H$121,1,E$6-2025)</f>
        <v/>
      </c>
      <c r="F19" s="51">
        <f>F12*INDEX(Inputs!$D$121:$H$121,1,F$6-2025)</f>
        <v/>
      </c>
      <c r="G19" s="51">
        <f>G12*INDEX(Inputs!$D$121:$H$121,1,G$6-2025)</f>
        <v/>
      </c>
      <c r="H19" s="51">
        <f>H12*INDEX(Inputs!$D$121:$H$121,1,H$6-2025)</f>
        <v/>
      </c>
      <c r="I19" s="51">
        <f>I12*INDEX(Inputs!$D$121:$H$121,1,I$6-2025)</f>
        <v/>
      </c>
      <c r="J19" s="51">
        <f>J12*INDEX(Inputs!$D$121:$H$121,1,J$6-2025)</f>
        <v/>
      </c>
      <c r="K19" s="51">
        <f>K12*INDEX(Inputs!$D$121:$H$121,1,K$6-2025)</f>
        <v/>
      </c>
      <c r="L19" s="51">
        <f>L12*INDEX(Inputs!$D$121:$H$121,1,L$6-2025)</f>
        <v/>
      </c>
      <c r="M19" s="51">
        <f>M12*INDEX(Inputs!$D$121:$H$121,1,M$6-2025)</f>
        <v/>
      </c>
      <c r="N19" s="51">
        <f>N12*INDEX(Inputs!$D$121:$H$121,1,N$6-2025)</f>
        <v/>
      </c>
      <c r="O19" s="51">
        <f>O12*INDEX(Inputs!$D$121:$H$121,1,O$6-2025)</f>
        <v/>
      </c>
      <c r="P19" s="51">
        <f>P12*INDEX(Inputs!$D$121:$H$121,1,P$6-2025)</f>
        <v/>
      </c>
      <c r="Q19" s="51">
        <f>Q12*INDEX(Inputs!$D$121:$H$121,1,Q$6-2025)</f>
        <v/>
      </c>
      <c r="R19" s="51">
        <f>R12*INDEX(Inputs!$D$121:$H$121,1,R$6-2025)</f>
        <v/>
      </c>
      <c r="S19" s="51">
        <f>S12*INDEX(Inputs!$D$121:$H$121,1,S$6-2025)</f>
        <v/>
      </c>
      <c r="T19" s="51">
        <f>T12*INDEX(Inputs!$D$121:$H$121,1,T$6-2025)</f>
        <v/>
      </c>
      <c r="U19" s="51">
        <f>U12*INDEX(Inputs!$D$121:$H$121,1,U$6-2025)</f>
        <v/>
      </c>
      <c r="V19" s="51">
        <f>V12*INDEX(Inputs!$D$121:$H$121,1,V$6-2025)</f>
        <v/>
      </c>
      <c r="W19" s="51">
        <f>W12*INDEX(Inputs!$D$121:$H$121,1,W$6-2025)</f>
        <v/>
      </c>
      <c r="X19" s="51">
        <f>X12*INDEX(Inputs!$D$121:$H$121,1,X$6-2025)</f>
        <v/>
      </c>
      <c r="Y19" s="51">
        <f>Y12*INDEX(Inputs!$D$121:$H$121,1,Y$6-2025)</f>
        <v/>
      </c>
      <c r="Z19" s="51">
        <f>Z12*INDEX(Inputs!$D$121:$H$121,1,Z$6-2025)</f>
        <v/>
      </c>
      <c r="AA19" s="51">
        <f>AA12*INDEX(Inputs!$D$121:$H$121,1,AA$6-2025)</f>
        <v/>
      </c>
      <c r="AB19" s="51">
        <f>AB12*INDEX(Inputs!$D$121:$H$121,1,AB$6-2025)</f>
        <v/>
      </c>
      <c r="AC19" s="51">
        <f>AC12*INDEX(Inputs!$D$121:$H$121,1,AC$6-2025)</f>
        <v/>
      </c>
      <c r="AD19" s="51">
        <f>AD12*INDEX(Inputs!$D$121:$H$121,1,AD$6-2025)</f>
        <v/>
      </c>
      <c r="AE19" s="51">
        <f>AE12*INDEX(Inputs!$D$121:$H$121,1,AE$6-2025)</f>
        <v/>
      </c>
      <c r="AF19" s="51">
        <f>AF12*INDEX(Inputs!$D$121:$H$121,1,AF$6-2025)</f>
        <v/>
      </c>
      <c r="AG19" s="51">
        <f>AG12*INDEX(Inputs!$D$121:$H$121,1,AG$6-2025)</f>
        <v/>
      </c>
      <c r="AH19" s="51">
        <f>AH12*INDEX(Inputs!$D$121:$H$121,1,AH$6-2025)</f>
        <v/>
      </c>
      <c r="AI19" s="51">
        <f>AI12*INDEX(Inputs!$D$121:$H$121,1,AI$6-2025)</f>
        <v/>
      </c>
      <c r="AJ19" s="51">
        <f>AJ12*INDEX(Inputs!$D$121:$H$121,1,AJ$6-2025)</f>
        <v/>
      </c>
      <c r="AK19" s="51">
        <f>AK12*INDEX(Inputs!$D$121:$H$121,1,AK$6-2025)</f>
        <v/>
      </c>
      <c r="AL19" s="51">
        <f>AL12*INDEX(Inputs!$D$121:$H$121,1,AL$6-2025)</f>
        <v/>
      </c>
      <c r="AM19" s="51">
        <f>AM12*INDEX(Inputs!$D$121:$H$121,1,AM$6-2025)</f>
        <v/>
      </c>
      <c r="AN19" s="51">
        <f>AN12*INDEX(Inputs!$D$121:$H$121,1,AN$6-2025)</f>
        <v/>
      </c>
      <c r="AO19" s="51">
        <f>AO12*INDEX(Inputs!$D$121:$H$121,1,AO$6-2025)</f>
        <v/>
      </c>
      <c r="AP19" s="51">
        <f>AP12*INDEX(Inputs!$D$121:$H$121,1,AP$6-2025)</f>
        <v/>
      </c>
      <c r="AQ19" s="51">
        <f>AQ12*INDEX(Inputs!$D$121:$H$121,1,AQ$6-2025)</f>
        <v/>
      </c>
      <c r="AR19" s="51">
        <f>AR12*INDEX(Inputs!$D$121:$H$121,1,AR$6-2025)</f>
        <v/>
      </c>
      <c r="AS19" s="51">
        <f>AS12*INDEX(Inputs!$D$121:$H$121,1,AS$6-2025)</f>
        <v/>
      </c>
      <c r="AT19" s="51">
        <f>AT12*INDEX(Inputs!$D$121:$H$121,1,AT$6-2025)</f>
        <v/>
      </c>
      <c r="AU19" s="51">
        <f>AU12*INDEX(Inputs!$D$121:$H$121,1,AU$6-2025)</f>
        <v/>
      </c>
      <c r="AV19" s="51">
        <f>AV12*INDEX(Inputs!$D$121:$H$121,1,AV$6-2025)</f>
        <v/>
      </c>
      <c r="AW19" s="51">
        <f>AW12*INDEX(Inputs!$D$121:$H$121,1,AW$6-2025)</f>
        <v/>
      </c>
      <c r="AX19" s="51">
        <f>AX12*INDEX(Inputs!$D$121:$H$121,1,AX$6-2025)</f>
        <v/>
      </c>
      <c r="AY19" s="51">
        <f>AY12*INDEX(Inputs!$D$121:$H$121,1,AY$6-2025)</f>
        <v/>
      </c>
      <c r="AZ19" s="51">
        <f>AZ12*INDEX(Inputs!$D$121:$H$121,1,AZ$6-2025)</f>
        <v/>
      </c>
      <c r="BA19" s="51">
        <f>BA12*INDEX(Inputs!$D$121:$H$121,1,BA$6-2025)</f>
        <v/>
      </c>
      <c r="BB19" s="51">
        <f>BB12*INDEX(Inputs!$D$121:$H$121,1,BB$6-2025)</f>
        <v/>
      </c>
      <c r="BC19" s="51">
        <f>BC12*INDEX(Inputs!$D$121:$H$121,1,BC$6-2025)</f>
        <v/>
      </c>
      <c r="BD19" s="51">
        <f>BD12*INDEX(Inputs!$D$121:$H$121,1,BD$6-2025)</f>
        <v/>
      </c>
      <c r="BE19" s="51">
        <f>BE12*INDEX(Inputs!$D$121:$H$121,1,BE$6-2025)</f>
        <v/>
      </c>
      <c r="BF19" s="51">
        <f>BF12*INDEX(Inputs!$D$121:$H$121,1,BF$6-2025)</f>
        <v/>
      </c>
      <c r="BG19" s="51">
        <f>BG12*INDEX(Inputs!$D$121:$H$121,1,BG$6-2025)</f>
        <v/>
      </c>
      <c r="BH19" s="51">
        <f>BH12*INDEX(Inputs!$D$121:$H$121,1,BH$6-2025)</f>
        <v/>
      </c>
      <c r="BI19" s="51">
        <f>BI12*INDEX(Inputs!$D$121:$H$121,1,BI$6-2025)</f>
        <v/>
      </c>
      <c r="BJ19" s="51">
        <f>BJ12*INDEX(Inputs!$D$121:$H$121,1,BJ$6-2025)</f>
        <v/>
      </c>
      <c r="BK19" s="51">
        <f>BK12*INDEX(Inputs!$D$121:$H$121,1,BK$6-2025)</f>
        <v/>
      </c>
    </row>
    <row r="20">
      <c r="B20" s="18" t="inlineStr">
        <is>
          <t xml:space="preserve">    Self serve cost</t>
        </is>
      </c>
      <c r="C20" s="19" t="inlineStr">
        <is>
          <t>$</t>
        </is>
      </c>
      <c r="D20" s="48">
        <f>D11*Inputs!$D$122</f>
        <v/>
      </c>
      <c r="E20" s="48">
        <f>E11*Inputs!$D$122</f>
        <v/>
      </c>
      <c r="F20" s="48">
        <f>F11*Inputs!$D$122</f>
        <v/>
      </c>
      <c r="G20" s="48">
        <f>G11*Inputs!$D$122</f>
        <v/>
      </c>
      <c r="H20" s="48">
        <f>H11*Inputs!$D$122</f>
        <v/>
      </c>
      <c r="I20" s="48">
        <f>I11*Inputs!$D$122</f>
        <v/>
      </c>
      <c r="J20" s="48">
        <f>J11*Inputs!$D$122</f>
        <v/>
      </c>
      <c r="K20" s="48">
        <f>K11*Inputs!$D$122</f>
        <v/>
      </c>
      <c r="L20" s="48">
        <f>L11*Inputs!$D$122</f>
        <v/>
      </c>
      <c r="M20" s="48">
        <f>M11*Inputs!$D$122</f>
        <v/>
      </c>
      <c r="N20" s="48">
        <f>N11*Inputs!$D$122</f>
        <v/>
      </c>
      <c r="O20" s="48">
        <f>O11*Inputs!$D$122</f>
        <v/>
      </c>
      <c r="P20" s="48">
        <f>P11*Inputs!$D$122</f>
        <v/>
      </c>
      <c r="Q20" s="48">
        <f>Q11*Inputs!$D$122</f>
        <v/>
      </c>
      <c r="R20" s="48">
        <f>R11*Inputs!$D$122</f>
        <v/>
      </c>
      <c r="S20" s="48">
        <f>S11*Inputs!$D$122</f>
        <v/>
      </c>
      <c r="T20" s="48">
        <f>T11*Inputs!$D$122</f>
        <v/>
      </c>
      <c r="U20" s="48">
        <f>U11*Inputs!$D$122</f>
        <v/>
      </c>
      <c r="V20" s="48">
        <f>V11*Inputs!$D$122</f>
        <v/>
      </c>
      <c r="W20" s="48">
        <f>W11*Inputs!$D$122</f>
        <v/>
      </c>
      <c r="X20" s="48">
        <f>X11*Inputs!$D$122</f>
        <v/>
      </c>
      <c r="Y20" s="48">
        <f>Y11*Inputs!$D$122</f>
        <v/>
      </c>
      <c r="Z20" s="48">
        <f>Z11*Inputs!$D$122</f>
        <v/>
      </c>
      <c r="AA20" s="48">
        <f>AA11*Inputs!$D$122</f>
        <v/>
      </c>
      <c r="AB20" s="48">
        <f>AB11*Inputs!$D$122</f>
        <v/>
      </c>
      <c r="AC20" s="48">
        <f>AC11*Inputs!$D$122</f>
        <v/>
      </c>
      <c r="AD20" s="48">
        <f>AD11*Inputs!$D$122</f>
        <v/>
      </c>
      <c r="AE20" s="48">
        <f>AE11*Inputs!$D$122</f>
        <v/>
      </c>
      <c r="AF20" s="48">
        <f>AF11*Inputs!$D$122</f>
        <v/>
      </c>
      <c r="AG20" s="48">
        <f>AG11*Inputs!$D$122</f>
        <v/>
      </c>
      <c r="AH20" s="48">
        <f>AH11*Inputs!$D$122</f>
        <v/>
      </c>
      <c r="AI20" s="48">
        <f>AI11*Inputs!$D$122</f>
        <v/>
      </c>
      <c r="AJ20" s="48">
        <f>AJ11*Inputs!$D$122</f>
        <v/>
      </c>
      <c r="AK20" s="48">
        <f>AK11*Inputs!$D$122</f>
        <v/>
      </c>
      <c r="AL20" s="48">
        <f>AL11*Inputs!$D$122</f>
        <v/>
      </c>
      <c r="AM20" s="48">
        <f>AM11*Inputs!$D$122</f>
        <v/>
      </c>
      <c r="AN20" s="48">
        <f>AN11*Inputs!$D$122</f>
        <v/>
      </c>
      <c r="AO20" s="48">
        <f>AO11*Inputs!$D$122</f>
        <v/>
      </c>
      <c r="AP20" s="48">
        <f>AP11*Inputs!$D$122</f>
        <v/>
      </c>
      <c r="AQ20" s="48">
        <f>AQ11*Inputs!$D$122</f>
        <v/>
      </c>
      <c r="AR20" s="48">
        <f>AR11*Inputs!$D$122</f>
        <v/>
      </c>
      <c r="AS20" s="48">
        <f>AS11*Inputs!$D$122</f>
        <v/>
      </c>
      <c r="AT20" s="48">
        <f>AT11*Inputs!$D$122</f>
        <v/>
      </c>
      <c r="AU20" s="48">
        <f>AU11*Inputs!$D$122</f>
        <v/>
      </c>
      <c r="AV20" s="48">
        <f>AV11*Inputs!$D$122</f>
        <v/>
      </c>
      <c r="AW20" s="48">
        <f>AW11*Inputs!$D$122</f>
        <v/>
      </c>
      <c r="AX20" s="48">
        <f>AX11*Inputs!$D$122</f>
        <v/>
      </c>
      <c r="AY20" s="48">
        <f>AY11*Inputs!$D$122</f>
        <v/>
      </c>
      <c r="AZ20" s="48">
        <f>AZ11*Inputs!$D$122</f>
        <v/>
      </c>
      <c r="BA20" s="48">
        <f>BA11*Inputs!$D$122</f>
        <v/>
      </c>
      <c r="BB20" s="48">
        <f>BB11*Inputs!$D$122</f>
        <v/>
      </c>
      <c r="BC20" s="48">
        <f>BC11*Inputs!$D$122</f>
        <v/>
      </c>
      <c r="BD20" s="48">
        <f>BD11*Inputs!$D$122</f>
        <v/>
      </c>
      <c r="BE20" s="48">
        <f>BE11*Inputs!$D$122</f>
        <v/>
      </c>
      <c r="BF20" s="48">
        <f>BF11*Inputs!$D$122</f>
        <v/>
      </c>
      <c r="BG20" s="48">
        <f>BG11*Inputs!$D$122</f>
        <v/>
      </c>
      <c r="BH20" s="48">
        <f>BH11*Inputs!$D$122</f>
        <v/>
      </c>
      <c r="BI20" s="48">
        <f>BI11*Inputs!$D$122</f>
        <v/>
      </c>
      <c r="BJ20" s="48">
        <f>BJ11*Inputs!$D$122</f>
        <v/>
      </c>
      <c r="BK20" s="48">
        <f>BK11*Inputs!$D$122</f>
        <v/>
      </c>
    </row>
    <row r="21">
      <c r="B21" s="18" t="inlineStr">
        <is>
          <t xml:space="preserve">    Hosting and infrastructure</t>
        </is>
      </c>
      <c r="C21" s="19" t="inlineStr">
        <is>
          <t>$</t>
        </is>
      </c>
      <c r="D21" s="51">
        <f>D13*INDEX(Inputs!$D$123:$H$123,1,D$6-2025)</f>
        <v/>
      </c>
      <c r="E21" s="51">
        <f>E13*INDEX(Inputs!$D$123:$H$123,1,E$6-2025)</f>
        <v/>
      </c>
      <c r="F21" s="51">
        <f>F13*INDEX(Inputs!$D$123:$H$123,1,F$6-2025)</f>
        <v/>
      </c>
      <c r="G21" s="51">
        <f>G13*INDEX(Inputs!$D$123:$H$123,1,G$6-2025)</f>
        <v/>
      </c>
      <c r="H21" s="51">
        <f>H13*INDEX(Inputs!$D$123:$H$123,1,H$6-2025)</f>
        <v/>
      </c>
      <c r="I21" s="51">
        <f>I13*INDEX(Inputs!$D$123:$H$123,1,I$6-2025)</f>
        <v/>
      </c>
      <c r="J21" s="51">
        <f>J13*INDEX(Inputs!$D$123:$H$123,1,J$6-2025)</f>
        <v/>
      </c>
      <c r="K21" s="51">
        <f>K13*INDEX(Inputs!$D$123:$H$123,1,K$6-2025)</f>
        <v/>
      </c>
      <c r="L21" s="51">
        <f>L13*INDEX(Inputs!$D$123:$H$123,1,L$6-2025)</f>
        <v/>
      </c>
      <c r="M21" s="51">
        <f>M13*INDEX(Inputs!$D$123:$H$123,1,M$6-2025)</f>
        <v/>
      </c>
      <c r="N21" s="51">
        <f>N13*INDEX(Inputs!$D$123:$H$123,1,N$6-2025)</f>
        <v/>
      </c>
      <c r="O21" s="51">
        <f>O13*INDEX(Inputs!$D$123:$H$123,1,O$6-2025)</f>
        <v/>
      </c>
      <c r="P21" s="51">
        <f>P13*INDEX(Inputs!$D$123:$H$123,1,P$6-2025)</f>
        <v/>
      </c>
      <c r="Q21" s="51">
        <f>Q13*INDEX(Inputs!$D$123:$H$123,1,Q$6-2025)</f>
        <v/>
      </c>
      <c r="R21" s="51">
        <f>R13*INDEX(Inputs!$D$123:$H$123,1,R$6-2025)</f>
        <v/>
      </c>
      <c r="S21" s="51">
        <f>S13*INDEX(Inputs!$D$123:$H$123,1,S$6-2025)</f>
        <v/>
      </c>
      <c r="T21" s="51">
        <f>T13*INDEX(Inputs!$D$123:$H$123,1,T$6-2025)</f>
        <v/>
      </c>
      <c r="U21" s="51">
        <f>U13*INDEX(Inputs!$D$123:$H$123,1,U$6-2025)</f>
        <v/>
      </c>
      <c r="V21" s="51">
        <f>V13*INDEX(Inputs!$D$123:$H$123,1,V$6-2025)</f>
        <v/>
      </c>
      <c r="W21" s="51">
        <f>W13*INDEX(Inputs!$D$123:$H$123,1,W$6-2025)</f>
        <v/>
      </c>
      <c r="X21" s="51">
        <f>X13*INDEX(Inputs!$D$123:$H$123,1,X$6-2025)</f>
        <v/>
      </c>
      <c r="Y21" s="51">
        <f>Y13*INDEX(Inputs!$D$123:$H$123,1,Y$6-2025)</f>
        <v/>
      </c>
      <c r="Z21" s="51">
        <f>Z13*INDEX(Inputs!$D$123:$H$123,1,Z$6-2025)</f>
        <v/>
      </c>
      <c r="AA21" s="51">
        <f>AA13*INDEX(Inputs!$D$123:$H$123,1,AA$6-2025)</f>
        <v/>
      </c>
      <c r="AB21" s="51">
        <f>AB13*INDEX(Inputs!$D$123:$H$123,1,AB$6-2025)</f>
        <v/>
      </c>
      <c r="AC21" s="51">
        <f>AC13*INDEX(Inputs!$D$123:$H$123,1,AC$6-2025)</f>
        <v/>
      </c>
      <c r="AD21" s="51">
        <f>AD13*INDEX(Inputs!$D$123:$H$123,1,AD$6-2025)</f>
        <v/>
      </c>
      <c r="AE21" s="51">
        <f>AE13*INDEX(Inputs!$D$123:$H$123,1,AE$6-2025)</f>
        <v/>
      </c>
      <c r="AF21" s="51">
        <f>AF13*INDEX(Inputs!$D$123:$H$123,1,AF$6-2025)</f>
        <v/>
      </c>
      <c r="AG21" s="51">
        <f>AG13*INDEX(Inputs!$D$123:$H$123,1,AG$6-2025)</f>
        <v/>
      </c>
      <c r="AH21" s="51">
        <f>AH13*INDEX(Inputs!$D$123:$H$123,1,AH$6-2025)</f>
        <v/>
      </c>
      <c r="AI21" s="51">
        <f>AI13*INDEX(Inputs!$D$123:$H$123,1,AI$6-2025)</f>
        <v/>
      </c>
      <c r="AJ21" s="51">
        <f>AJ13*INDEX(Inputs!$D$123:$H$123,1,AJ$6-2025)</f>
        <v/>
      </c>
      <c r="AK21" s="51">
        <f>AK13*INDEX(Inputs!$D$123:$H$123,1,AK$6-2025)</f>
        <v/>
      </c>
      <c r="AL21" s="51">
        <f>AL13*INDEX(Inputs!$D$123:$H$123,1,AL$6-2025)</f>
        <v/>
      </c>
      <c r="AM21" s="51">
        <f>AM13*INDEX(Inputs!$D$123:$H$123,1,AM$6-2025)</f>
        <v/>
      </c>
      <c r="AN21" s="51">
        <f>AN13*INDEX(Inputs!$D$123:$H$123,1,AN$6-2025)</f>
        <v/>
      </c>
      <c r="AO21" s="51">
        <f>AO13*INDEX(Inputs!$D$123:$H$123,1,AO$6-2025)</f>
        <v/>
      </c>
      <c r="AP21" s="51">
        <f>AP13*INDEX(Inputs!$D$123:$H$123,1,AP$6-2025)</f>
        <v/>
      </c>
      <c r="AQ21" s="51">
        <f>AQ13*INDEX(Inputs!$D$123:$H$123,1,AQ$6-2025)</f>
        <v/>
      </c>
      <c r="AR21" s="51">
        <f>AR13*INDEX(Inputs!$D$123:$H$123,1,AR$6-2025)</f>
        <v/>
      </c>
      <c r="AS21" s="51">
        <f>AS13*INDEX(Inputs!$D$123:$H$123,1,AS$6-2025)</f>
        <v/>
      </c>
      <c r="AT21" s="51">
        <f>AT13*INDEX(Inputs!$D$123:$H$123,1,AT$6-2025)</f>
        <v/>
      </c>
      <c r="AU21" s="51">
        <f>AU13*INDEX(Inputs!$D$123:$H$123,1,AU$6-2025)</f>
        <v/>
      </c>
      <c r="AV21" s="51">
        <f>AV13*INDEX(Inputs!$D$123:$H$123,1,AV$6-2025)</f>
        <v/>
      </c>
      <c r="AW21" s="51">
        <f>AW13*INDEX(Inputs!$D$123:$H$123,1,AW$6-2025)</f>
        <v/>
      </c>
      <c r="AX21" s="51">
        <f>AX13*INDEX(Inputs!$D$123:$H$123,1,AX$6-2025)</f>
        <v/>
      </c>
      <c r="AY21" s="51">
        <f>AY13*INDEX(Inputs!$D$123:$H$123,1,AY$6-2025)</f>
        <v/>
      </c>
      <c r="AZ21" s="51">
        <f>AZ13*INDEX(Inputs!$D$123:$H$123,1,AZ$6-2025)</f>
        <v/>
      </c>
      <c r="BA21" s="51">
        <f>BA13*INDEX(Inputs!$D$123:$H$123,1,BA$6-2025)</f>
        <v/>
      </c>
      <c r="BB21" s="51">
        <f>BB13*INDEX(Inputs!$D$123:$H$123,1,BB$6-2025)</f>
        <v/>
      </c>
      <c r="BC21" s="51">
        <f>BC13*INDEX(Inputs!$D$123:$H$123,1,BC$6-2025)</f>
        <v/>
      </c>
      <c r="BD21" s="51">
        <f>BD13*INDEX(Inputs!$D$123:$H$123,1,BD$6-2025)</f>
        <v/>
      </c>
      <c r="BE21" s="51">
        <f>BE13*INDEX(Inputs!$D$123:$H$123,1,BE$6-2025)</f>
        <v/>
      </c>
      <c r="BF21" s="51">
        <f>BF13*INDEX(Inputs!$D$123:$H$123,1,BF$6-2025)</f>
        <v/>
      </c>
      <c r="BG21" s="51">
        <f>BG13*INDEX(Inputs!$D$123:$H$123,1,BG$6-2025)</f>
        <v/>
      </c>
      <c r="BH21" s="51">
        <f>BH13*INDEX(Inputs!$D$123:$H$123,1,BH$6-2025)</f>
        <v/>
      </c>
      <c r="BI21" s="51">
        <f>BI13*INDEX(Inputs!$D$123:$H$123,1,BI$6-2025)</f>
        <v/>
      </c>
      <c r="BJ21" s="51">
        <f>BJ13*INDEX(Inputs!$D$123:$H$123,1,BJ$6-2025)</f>
        <v/>
      </c>
      <c r="BK21" s="51">
        <f>BK13*INDEX(Inputs!$D$123:$H$123,1,BK$6-2025)</f>
        <v/>
      </c>
    </row>
    <row r="22">
      <c r="B22" s="18" t="inlineStr">
        <is>
          <t xml:space="preserve">    Third party data</t>
        </is>
      </c>
      <c r="C22" s="19" t="inlineStr">
        <is>
          <t>$</t>
        </is>
      </c>
      <c r="D22" s="48">
        <f>D13*Inputs!$D$124</f>
        <v/>
      </c>
      <c r="E22" s="48">
        <f>E13*Inputs!$D$124</f>
        <v/>
      </c>
      <c r="F22" s="48">
        <f>F13*Inputs!$D$124</f>
        <v/>
      </c>
      <c r="G22" s="48">
        <f>G13*Inputs!$D$124</f>
        <v/>
      </c>
      <c r="H22" s="48">
        <f>H13*Inputs!$D$124</f>
        <v/>
      </c>
      <c r="I22" s="48">
        <f>I13*Inputs!$D$124</f>
        <v/>
      </c>
      <c r="J22" s="48">
        <f>J13*Inputs!$D$124</f>
        <v/>
      </c>
      <c r="K22" s="48">
        <f>K13*Inputs!$D$124</f>
        <v/>
      </c>
      <c r="L22" s="48">
        <f>L13*Inputs!$D$124</f>
        <v/>
      </c>
      <c r="M22" s="48">
        <f>M13*Inputs!$D$124</f>
        <v/>
      </c>
      <c r="N22" s="48">
        <f>N13*Inputs!$D$124</f>
        <v/>
      </c>
      <c r="O22" s="48">
        <f>O13*Inputs!$D$124</f>
        <v/>
      </c>
      <c r="P22" s="48">
        <f>P13*Inputs!$D$124</f>
        <v/>
      </c>
      <c r="Q22" s="48">
        <f>Q13*Inputs!$D$124</f>
        <v/>
      </c>
      <c r="R22" s="48">
        <f>R13*Inputs!$D$124</f>
        <v/>
      </c>
      <c r="S22" s="48">
        <f>S13*Inputs!$D$124</f>
        <v/>
      </c>
      <c r="T22" s="48">
        <f>T13*Inputs!$D$124</f>
        <v/>
      </c>
      <c r="U22" s="48">
        <f>U13*Inputs!$D$124</f>
        <v/>
      </c>
      <c r="V22" s="48">
        <f>V13*Inputs!$D$124</f>
        <v/>
      </c>
      <c r="W22" s="48">
        <f>W13*Inputs!$D$124</f>
        <v/>
      </c>
      <c r="X22" s="48">
        <f>X13*Inputs!$D$124</f>
        <v/>
      </c>
      <c r="Y22" s="48">
        <f>Y13*Inputs!$D$124</f>
        <v/>
      </c>
      <c r="Z22" s="48">
        <f>Z13*Inputs!$D$124</f>
        <v/>
      </c>
      <c r="AA22" s="48">
        <f>AA13*Inputs!$D$124</f>
        <v/>
      </c>
      <c r="AB22" s="48">
        <f>AB13*Inputs!$D$124</f>
        <v/>
      </c>
      <c r="AC22" s="48">
        <f>AC13*Inputs!$D$124</f>
        <v/>
      </c>
      <c r="AD22" s="48">
        <f>AD13*Inputs!$D$124</f>
        <v/>
      </c>
      <c r="AE22" s="48">
        <f>AE13*Inputs!$D$124</f>
        <v/>
      </c>
      <c r="AF22" s="48">
        <f>AF13*Inputs!$D$124</f>
        <v/>
      </c>
      <c r="AG22" s="48">
        <f>AG13*Inputs!$D$124</f>
        <v/>
      </c>
      <c r="AH22" s="48">
        <f>AH13*Inputs!$D$124</f>
        <v/>
      </c>
      <c r="AI22" s="48">
        <f>AI13*Inputs!$D$124</f>
        <v/>
      </c>
      <c r="AJ22" s="48">
        <f>AJ13*Inputs!$D$124</f>
        <v/>
      </c>
      <c r="AK22" s="48">
        <f>AK13*Inputs!$D$124</f>
        <v/>
      </c>
      <c r="AL22" s="48">
        <f>AL13*Inputs!$D$124</f>
        <v/>
      </c>
      <c r="AM22" s="48">
        <f>AM13*Inputs!$D$124</f>
        <v/>
      </c>
      <c r="AN22" s="48">
        <f>AN13*Inputs!$D$124</f>
        <v/>
      </c>
      <c r="AO22" s="48">
        <f>AO13*Inputs!$D$124</f>
        <v/>
      </c>
      <c r="AP22" s="48">
        <f>AP13*Inputs!$D$124</f>
        <v/>
      </c>
      <c r="AQ22" s="48">
        <f>AQ13*Inputs!$D$124</f>
        <v/>
      </c>
      <c r="AR22" s="48">
        <f>AR13*Inputs!$D$124</f>
        <v/>
      </c>
      <c r="AS22" s="48">
        <f>AS13*Inputs!$D$124</f>
        <v/>
      </c>
      <c r="AT22" s="48">
        <f>AT13*Inputs!$D$124</f>
        <v/>
      </c>
      <c r="AU22" s="48">
        <f>AU13*Inputs!$D$124</f>
        <v/>
      </c>
      <c r="AV22" s="48">
        <f>AV13*Inputs!$D$124</f>
        <v/>
      </c>
      <c r="AW22" s="48">
        <f>AW13*Inputs!$D$124</f>
        <v/>
      </c>
      <c r="AX22" s="48">
        <f>AX13*Inputs!$D$124</f>
        <v/>
      </c>
      <c r="AY22" s="48">
        <f>AY13*Inputs!$D$124</f>
        <v/>
      </c>
      <c r="AZ22" s="48">
        <f>AZ13*Inputs!$D$124</f>
        <v/>
      </c>
      <c r="BA22" s="48">
        <f>BA13*Inputs!$D$124</f>
        <v/>
      </c>
      <c r="BB22" s="48">
        <f>BB13*Inputs!$D$124</f>
        <v/>
      </c>
      <c r="BC22" s="48">
        <f>BC13*Inputs!$D$124</f>
        <v/>
      </c>
      <c r="BD22" s="48">
        <f>BD13*Inputs!$D$124</f>
        <v/>
      </c>
      <c r="BE22" s="48">
        <f>BE13*Inputs!$D$124</f>
        <v/>
      </c>
      <c r="BF22" s="48">
        <f>BF13*Inputs!$D$124</f>
        <v/>
      </c>
      <c r="BG22" s="48">
        <f>BG13*Inputs!$D$124</f>
        <v/>
      </c>
      <c r="BH22" s="48">
        <f>BH13*Inputs!$D$124</f>
        <v/>
      </c>
      <c r="BI22" s="48">
        <f>BI13*Inputs!$D$124</f>
        <v/>
      </c>
      <c r="BJ22" s="48">
        <f>BJ13*Inputs!$D$124</f>
        <v/>
      </c>
      <c r="BK22" s="48">
        <f>BK13*Inputs!$D$124</f>
        <v/>
      </c>
    </row>
    <row r="23">
      <c r="B23" s="29" t="inlineStr">
        <is>
          <t xml:space="preserve">    Total cost of revenue</t>
        </is>
      </c>
      <c r="C23" s="19" t="inlineStr">
        <is>
          <t>$</t>
        </is>
      </c>
      <c r="D23" s="46">
        <f>D18+D19+D20+D21+D22</f>
        <v/>
      </c>
      <c r="E23" s="46">
        <f>E18+E19+E20+E21+E22</f>
        <v/>
      </c>
      <c r="F23" s="46">
        <f>F18+F19+F20+F21+F22</f>
        <v/>
      </c>
      <c r="G23" s="46">
        <f>G18+G19+G20+G21+G22</f>
        <v/>
      </c>
      <c r="H23" s="46">
        <f>H18+H19+H20+H21+H22</f>
        <v/>
      </c>
      <c r="I23" s="46">
        <f>I18+I19+I20+I21+I22</f>
        <v/>
      </c>
      <c r="J23" s="46">
        <f>J18+J19+J20+J21+J22</f>
        <v/>
      </c>
      <c r="K23" s="46">
        <f>K18+K19+K20+K21+K22</f>
        <v/>
      </c>
      <c r="L23" s="46">
        <f>L18+L19+L20+L21+L22</f>
        <v/>
      </c>
      <c r="M23" s="46">
        <f>M18+M19+M20+M21+M22</f>
        <v/>
      </c>
      <c r="N23" s="46">
        <f>N18+N19+N20+N21+N22</f>
        <v/>
      </c>
      <c r="O23" s="46">
        <f>O18+O19+O20+O21+O22</f>
        <v/>
      </c>
      <c r="P23" s="46">
        <f>P18+P19+P20+P21+P22</f>
        <v/>
      </c>
      <c r="Q23" s="46">
        <f>Q18+Q19+Q20+Q21+Q22</f>
        <v/>
      </c>
      <c r="R23" s="46">
        <f>R18+R19+R20+R21+R22</f>
        <v/>
      </c>
      <c r="S23" s="46">
        <f>S18+S19+S20+S21+S22</f>
        <v/>
      </c>
      <c r="T23" s="46">
        <f>T18+T19+T20+T21+T22</f>
        <v/>
      </c>
      <c r="U23" s="46">
        <f>U18+U19+U20+U21+U22</f>
        <v/>
      </c>
      <c r="V23" s="46">
        <f>V18+V19+V20+V21+V22</f>
        <v/>
      </c>
      <c r="W23" s="46">
        <f>W18+W19+W20+W21+W22</f>
        <v/>
      </c>
      <c r="X23" s="46">
        <f>X18+X19+X20+X21+X22</f>
        <v/>
      </c>
      <c r="Y23" s="46">
        <f>Y18+Y19+Y20+Y21+Y22</f>
        <v/>
      </c>
      <c r="Z23" s="46">
        <f>Z18+Z19+Z20+Z21+Z22</f>
        <v/>
      </c>
      <c r="AA23" s="46">
        <f>AA18+AA19+AA20+AA21+AA22</f>
        <v/>
      </c>
      <c r="AB23" s="46">
        <f>AB18+AB19+AB20+AB21+AB22</f>
        <v/>
      </c>
      <c r="AC23" s="46">
        <f>AC18+AC19+AC20+AC21+AC22</f>
        <v/>
      </c>
      <c r="AD23" s="46">
        <f>AD18+AD19+AD20+AD21+AD22</f>
        <v/>
      </c>
      <c r="AE23" s="46">
        <f>AE18+AE19+AE20+AE21+AE22</f>
        <v/>
      </c>
      <c r="AF23" s="46">
        <f>AF18+AF19+AF20+AF21+AF22</f>
        <v/>
      </c>
      <c r="AG23" s="46">
        <f>AG18+AG19+AG20+AG21+AG22</f>
        <v/>
      </c>
      <c r="AH23" s="46">
        <f>AH18+AH19+AH20+AH21+AH22</f>
        <v/>
      </c>
      <c r="AI23" s="46">
        <f>AI18+AI19+AI20+AI21+AI22</f>
        <v/>
      </c>
      <c r="AJ23" s="46">
        <f>AJ18+AJ19+AJ20+AJ21+AJ22</f>
        <v/>
      </c>
      <c r="AK23" s="46">
        <f>AK18+AK19+AK20+AK21+AK22</f>
        <v/>
      </c>
      <c r="AL23" s="46">
        <f>AL18+AL19+AL20+AL21+AL22</f>
        <v/>
      </c>
      <c r="AM23" s="46">
        <f>AM18+AM19+AM20+AM21+AM22</f>
        <v/>
      </c>
      <c r="AN23" s="46">
        <f>AN18+AN19+AN20+AN21+AN22</f>
        <v/>
      </c>
      <c r="AO23" s="46">
        <f>AO18+AO19+AO20+AO21+AO22</f>
        <v/>
      </c>
      <c r="AP23" s="46">
        <f>AP18+AP19+AP20+AP21+AP22</f>
        <v/>
      </c>
      <c r="AQ23" s="46">
        <f>AQ18+AQ19+AQ20+AQ21+AQ22</f>
        <v/>
      </c>
      <c r="AR23" s="46">
        <f>AR18+AR19+AR20+AR21+AR22</f>
        <v/>
      </c>
      <c r="AS23" s="46">
        <f>AS18+AS19+AS20+AS21+AS22</f>
        <v/>
      </c>
      <c r="AT23" s="46">
        <f>AT18+AT19+AT20+AT21+AT22</f>
        <v/>
      </c>
      <c r="AU23" s="46">
        <f>AU18+AU19+AU20+AU21+AU22</f>
        <v/>
      </c>
      <c r="AV23" s="46">
        <f>AV18+AV19+AV20+AV21+AV22</f>
        <v/>
      </c>
      <c r="AW23" s="46">
        <f>AW18+AW19+AW20+AW21+AW22</f>
        <v/>
      </c>
      <c r="AX23" s="46">
        <f>AX18+AX19+AX20+AX21+AX22</f>
        <v/>
      </c>
      <c r="AY23" s="46">
        <f>AY18+AY19+AY20+AY21+AY22</f>
        <v/>
      </c>
      <c r="AZ23" s="46">
        <f>AZ18+AZ19+AZ20+AZ21+AZ22</f>
        <v/>
      </c>
      <c r="BA23" s="46">
        <f>BA18+BA19+BA20+BA21+BA22</f>
        <v/>
      </c>
      <c r="BB23" s="46">
        <f>BB18+BB19+BB20+BB21+BB22</f>
        <v/>
      </c>
      <c r="BC23" s="46">
        <f>BC18+BC19+BC20+BC21+BC22</f>
        <v/>
      </c>
      <c r="BD23" s="46">
        <f>BD18+BD19+BD20+BD21+BD22</f>
        <v/>
      </c>
      <c r="BE23" s="46">
        <f>BE18+BE19+BE20+BE21+BE22</f>
        <v/>
      </c>
      <c r="BF23" s="46">
        <f>BF18+BF19+BF20+BF21+BF22</f>
        <v/>
      </c>
      <c r="BG23" s="46">
        <f>BG18+BG19+BG20+BG21+BG22</f>
        <v/>
      </c>
      <c r="BH23" s="46">
        <f>BH18+BH19+BH20+BH21+BH22</f>
        <v/>
      </c>
      <c r="BI23" s="46">
        <f>BI18+BI19+BI20+BI21+BI22</f>
        <v/>
      </c>
      <c r="BJ23" s="46">
        <f>BJ18+BJ19+BJ20+BJ21+BJ22</f>
        <v/>
      </c>
      <c r="BK23" s="46">
        <f>BK18+BK19+BK20+BK21+BK22</f>
        <v/>
      </c>
      <c r="BM23" s="91">
        <f>SUM(D23:O23)</f>
        <v/>
      </c>
      <c r="BN23" s="91">
        <f>SUM(P23:AA23)</f>
        <v/>
      </c>
      <c r="BO23" s="91">
        <f>SUM(AB23:AM23)</f>
        <v/>
      </c>
      <c r="BP23" s="91">
        <f>SUM(AN23:AY23)</f>
        <v/>
      </c>
      <c r="BQ23" s="91">
        <f>SUM(AZ23:BK23)</f>
        <v/>
      </c>
    </row>
    <row r="24">
      <c r="B24" s="29" t="inlineStr">
        <is>
          <t xml:space="preserve">    Gross profit</t>
        </is>
      </c>
      <c r="C24" s="19" t="inlineStr">
        <is>
          <t>$</t>
        </is>
      </c>
      <c r="D24" s="46">
        <f>D13-D23</f>
        <v/>
      </c>
      <c r="E24" s="46">
        <f>E13-E23</f>
        <v/>
      </c>
      <c r="F24" s="46">
        <f>F13-F23</f>
        <v/>
      </c>
      <c r="G24" s="46">
        <f>G13-G23</f>
        <v/>
      </c>
      <c r="H24" s="46">
        <f>H13-H23</f>
        <v/>
      </c>
      <c r="I24" s="46">
        <f>I13-I23</f>
        <v/>
      </c>
      <c r="J24" s="46">
        <f>J13-J23</f>
        <v/>
      </c>
      <c r="K24" s="46">
        <f>K13-K23</f>
        <v/>
      </c>
      <c r="L24" s="46">
        <f>L13-L23</f>
        <v/>
      </c>
      <c r="M24" s="46">
        <f>M13-M23</f>
        <v/>
      </c>
      <c r="N24" s="46">
        <f>N13-N23</f>
        <v/>
      </c>
      <c r="O24" s="46">
        <f>O13-O23</f>
        <v/>
      </c>
      <c r="P24" s="46">
        <f>P13-P23</f>
        <v/>
      </c>
      <c r="Q24" s="46">
        <f>Q13-Q23</f>
        <v/>
      </c>
      <c r="R24" s="46">
        <f>R13-R23</f>
        <v/>
      </c>
      <c r="S24" s="46">
        <f>S13-S23</f>
        <v/>
      </c>
      <c r="T24" s="46">
        <f>T13-T23</f>
        <v/>
      </c>
      <c r="U24" s="46">
        <f>U13-U23</f>
        <v/>
      </c>
      <c r="V24" s="46">
        <f>V13-V23</f>
        <v/>
      </c>
      <c r="W24" s="46">
        <f>W13-W23</f>
        <v/>
      </c>
      <c r="X24" s="46">
        <f>X13-X23</f>
        <v/>
      </c>
      <c r="Y24" s="46">
        <f>Y13-Y23</f>
        <v/>
      </c>
      <c r="Z24" s="46">
        <f>Z13-Z23</f>
        <v/>
      </c>
      <c r="AA24" s="46">
        <f>AA13-AA23</f>
        <v/>
      </c>
      <c r="AB24" s="46">
        <f>AB13-AB23</f>
        <v/>
      </c>
      <c r="AC24" s="46">
        <f>AC13-AC23</f>
        <v/>
      </c>
      <c r="AD24" s="46">
        <f>AD13-AD23</f>
        <v/>
      </c>
      <c r="AE24" s="46">
        <f>AE13-AE23</f>
        <v/>
      </c>
      <c r="AF24" s="46">
        <f>AF13-AF23</f>
        <v/>
      </c>
      <c r="AG24" s="46">
        <f>AG13-AG23</f>
        <v/>
      </c>
      <c r="AH24" s="46">
        <f>AH13-AH23</f>
        <v/>
      </c>
      <c r="AI24" s="46">
        <f>AI13-AI23</f>
        <v/>
      </c>
      <c r="AJ24" s="46">
        <f>AJ13-AJ23</f>
        <v/>
      </c>
      <c r="AK24" s="46">
        <f>AK13-AK23</f>
        <v/>
      </c>
      <c r="AL24" s="46">
        <f>AL13-AL23</f>
        <v/>
      </c>
      <c r="AM24" s="46">
        <f>AM13-AM23</f>
        <v/>
      </c>
      <c r="AN24" s="46">
        <f>AN13-AN23</f>
        <v/>
      </c>
      <c r="AO24" s="46">
        <f>AO13-AO23</f>
        <v/>
      </c>
      <c r="AP24" s="46">
        <f>AP13-AP23</f>
        <v/>
      </c>
      <c r="AQ24" s="46">
        <f>AQ13-AQ23</f>
        <v/>
      </c>
      <c r="AR24" s="46">
        <f>AR13-AR23</f>
        <v/>
      </c>
      <c r="AS24" s="46">
        <f>AS13-AS23</f>
        <v/>
      </c>
      <c r="AT24" s="46">
        <f>AT13-AT23</f>
        <v/>
      </c>
      <c r="AU24" s="46">
        <f>AU13-AU23</f>
        <v/>
      </c>
      <c r="AV24" s="46">
        <f>AV13-AV23</f>
        <v/>
      </c>
      <c r="AW24" s="46">
        <f>AW13-AW23</f>
        <v/>
      </c>
      <c r="AX24" s="46">
        <f>AX13-AX23</f>
        <v/>
      </c>
      <c r="AY24" s="46">
        <f>AY13-AY23</f>
        <v/>
      </c>
      <c r="AZ24" s="46">
        <f>AZ13-AZ23</f>
        <v/>
      </c>
      <c r="BA24" s="46">
        <f>BA13-BA23</f>
        <v/>
      </c>
      <c r="BB24" s="46">
        <f>BB13-BB23</f>
        <v/>
      </c>
      <c r="BC24" s="46">
        <f>BC13-BC23</f>
        <v/>
      </c>
      <c r="BD24" s="46">
        <f>BD13-BD23</f>
        <v/>
      </c>
      <c r="BE24" s="46">
        <f>BE13-BE23</f>
        <v/>
      </c>
      <c r="BF24" s="46">
        <f>BF13-BF23</f>
        <v/>
      </c>
      <c r="BG24" s="46">
        <f>BG13-BG23</f>
        <v/>
      </c>
      <c r="BH24" s="46">
        <f>BH13-BH23</f>
        <v/>
      </c>
      <c r="BI24" s="46">
        <f>BI13-BI23</f>
        <v/>
      </c>
      <c r="BJ24" s="46">
        <f>BJ13-BJ23</f>
        <v/>
      </c>
      <c r="BK24" s="46">
        <f>BK13-BK23</f>
        <v/>
      </c>
      <c r="BM24" s="91">
        <f>SUM(D24:O24)</f>
        <v/>
      </c>
      <c r="BN24" s="91">
        <f>SUM(P24:AA24)</f>
        <v/>
      </c>
      <c r="BO24" s="91">
        <f>SUM(AB24:AM24)</f>
        <v/>
      </c>
      <c r="BP24" s="91">
        <f>SUM(AN24:AY24)</f>
        <v/>
      </c>
      <c r="BQ24" s="91">
        <f>SUM(AZ24:BK24)</f>
        <v/>
      </c>
    </row>
    <row r="25">
      <c r="B25" s="18" t="inlineStr">
        <is>
          <t xml:space="preserve">    Gross margin</t>
        </is>
      </c>
      <c r="C25" s="19" t="inlineStr">
        <is>
          <t>%</t>
        </is>
      </c>
      <c r="D25" s="58">
        <f>IF(D13=0,0,D24/D13)</f>
        <v/>
      </c>
      <c r="E25" s="58">
        <f>IF(E13=0,0,E24/E13)</f>
        <v/>
      </c>
      <c r="F25" s="58">
        <f>IF(F13=0,0,F24/F13)</f>
        <v/>
      </c>
      <c r="G25" s="58">
        <f>IF(G13=0,0,G24/G13)</f>
        <v/>
      </c>
      <c r="H25" s="58">
        <f>IF(H13=0,0,H24/H13)</f>
        <v/>
      </c>
      <c r="I25" s="58">
        <f>IF(I13=0,0,I24/I13)</f>
        <v/>
      </c>
      <c r="J25" s="58">
        <f>IF(J13=0,0,J24/J13)</f>
        <v/>
      </c>
      <c r="K25" s="58">
        <f>IF(K13=0,0,K24/K13)</f>
        <v/>
      </c>
      <c r="L25" s="58">
        <f>IF(L13=0,0,L24/L13)</f>
        <v/>
      </c>
      <c r="M25" s="58">
        <f>IF(M13=0,0,M24/M13)</f>
        <v/>
      </c>
      <c r="N25" s="58">
        <f>IF(N13=0,0,N24/N13)</f>
        <v/>
      </c>
      <c r="O25" s="58">
        <f>IF(O13=0,0,O24/O13)</f>
        <v/>
      </c>
      <c r="P25" s="58">
        <f>IF(P13=0,0,P24/P13)</f>
        <v/>
      </c>
      <c r="Q25" s="58">
        <f>IF(Q13=0,0,Q24/Q13)</f>
        <v/>
      </c>
      <c r="R25" s="58">
        <f>IF(R13=0,0,R24/R13)</f>
        <v/>
      </c>
      <c r="S25" s="58">
        <f>IF(S13=0,0,S24/S13)</f>
        <v/>
      </c>
      <c r="T25" s="58">
        <f>IF(T13=0,0,T24/T13)</f>
        <v/>
      </c>
      <c r="U25" s="58">
        <f>IF(U13=0,0,U24/U13)</f>
        <v/>
      </c>
      <c r="V25" s="58">
        <f>IF(V13=0,0,V24/V13)</f>
        <v/>
      </c>
      <c r="W25" s="58">
        <f>IF(W13=0,0,W24/W13)</f>
        <v/>
      </c>
      <c r="X25" s="58">
        <f>IF(X13=0,0,X24/X13)</f>
        <v/>
      </c>
      <c r="Y25" s="58">
        <f>IF(Y13=0,0,Y24/Y13)</f>
        <v/>
      </c>
      <c r="Z25" s="58">
        <f>IF(Z13=0,0,Z24/Z13)</f>
        <v/>
      </c>
      <c r="AA25" s="58">
        <f>IF(AA13=0,0,AA24/AA13)</f>
        <v/>
      </c>
      <c r="AB25" s="58">
        <f>IF(AB13=0,0,AB24/AB13)</f>
        <v/>
      </c>
      <c r="AC25" s="58">
        <f>IF(AC13=0,0,AC24/AC13)</f>
        <v/>
      </c>
      <c r="AD25" s="58">
        <f>IF(AD13=0,0,AD24/AD13)</f>
        <v/>
      </c>
      <c r="AE25" s="58">
        <f>IF(AE13=0,0,AE24/AE13)</f>
        <v/>
      </c>
      <c r="AF25" s="58">
        <f>IF(AF13=0,0,AF24/AF13)</f>
        <v/>
      </c>
      <c r="AG25" s="58">
        <f>IF(AG13=0,0,AG24/AG13)</f>
        <v/>
      </c>
      <c r="AH25" s="58">
        <f>IF(AH13=0,0,AH24/AH13)</f>
        <v/>
      </c>
      <c r="AI25" s="58">
        <f>IF(AI13=0,0,AI24/AI13)</f>
        <v/>
      </c>
      <c r="AJ25" s="58">
        <f>IF(AJ13=0,0,AJ24/AJ13)</f>
        <v/>
      </c>
      <c r="AK25" s="58">
        <f>IF(AK13=0,0,AK24/AK13)</f>
        <v/>
      </c>
      <c r="AL25" s="58">
        <f>IF(AL13=0,0,AL24/AL13)</f>
        <v/>
      </c>
      <c r="AM25" s="58">
        <f>IF(AM13=0,0,AM24/AM13)</f>
        <v/>
      </c>
      <c r="AN25" s="58">
        <f>IF(AN13=0,0,AN24/AN13)</f>
        <v/>
      </c>
      <c r="AO25" s="58">
        <f>IF(AO13=0,0,AO24/AO13)</f>
        <v/>
      </c>
      <c r="AP25" s="58">
        <f>IF(AP13=0,0,AP24/AP13)</f>
        <v/>
      </c>
      <c r="AQ25" s="58">
        <f>IF(AQ13=0,0,AQ24/AQ13)</f>
        <v/>
      </c>
      <c r="AR25" s="58">
        <f>IF(AR13=0,0,AR24/AR13)</f>
        <v/>
      </c>
      <c r="AS25" s="58">
        <f>IF(AS13=0,0,AS24/AS13)</f>
        <v/>
      </c>
      <c r="AT25" s="58">
        <f>IF(AT13=0,0,AT24/AT13)</f>
        <v/>
      </c>
      <c r="AU25" s="58">
        <f>IF(AU13=0,0,AU24/AU13)</f>
        <v/>
      </c>
      <c r="AV25" s="58">
        <f>IF(AV13=0,0,AV24/AV13)</f>
        <v/>
      </c>
      <c r="AW25" s="58">
        <f>IF(AW13=0,0,AW24/AW13)</f>
        <v/>
      </c>
      <c r="AX25" s="58">
        <f>IF(AX13=0,0,AX24/AX13)</f>
        <v/>
      </c>
      <c r="AY25" s="58">
        <f>IF(AY13=0,0,AY24/AY13)</f>
        <v/>
      </c>
      <c r="AZ25" s="58">
        <f>IF(AZ13=0,0,AZ24/AZ13)</f>
        <v/>
      </c>
      <c r="BA25" s="58">
        <f>IF(BA13=0,0,BA24/BA13)</f>
        <v/>
      </c>
      <c r="BB25" s="58">
        <f>IF(BB13=0,0,BB24/BB13)</f>
        <v/>
      </c>
      <c r="BC25" s="58">
        <f>IF(BC13=0,0,BC24/BC13)</f>
        <v/>
      </c>
      <c r="BD25" s="58">
        <f>IF(BD13=0,0,BD24/BD13)</f>
        <v/>
      </c>
      <c r="BE25" s="58">
        <f>IF(BE13=0,0,BE24/BE13)</f>
        <v/>
      </c>
      <c r="BF25" s="58">
        <f>IF(BF13=0,0,BF24/BF13)</f>
        <v/>
      </c>
      <c r="BG25" s="58">
        <f>IF(BG13=0,0,BG24/BG13)</f>
        <v/>
      </c>
      <c r="BH25" s="58">
        <f>IF(BH13=0,0,BH24/BH13)</f>
        <v/>
      </c>
      <c r="BI25" s="58">
        <f>IF(BI13=0,0,BI24/BI13)</f>
        <v/>
      </c>
      <c r="BJ25" s="58">
        <f>IF(BJ13=0,0,BJ24/BJ13)</f>
        <v/>
      </c>
      <c r="BK25" s="58">
        <f>IF(BK13=0,0,BK24/BK13)</f>
        <v/>
      </c>
      <c r="BM25" s="58">
        <f>IF(BM13=0,0,BM24/BM13)</f>
        <v/>
      </c>
      <c r="BN25" s="58">
        <f>IF(BN13=0,0,BN24/BN13)</f>
        <v/>
      </c>
      <c r="BO25" s="58">
        <f>IF(BO13=0,0,BO24/BO13)</f>
        <v/>
      </c>
      <c r="BP25" s="58">
        <f>IF(BP13=0,0,BP24/BP13)</f>
        <v/>
      </c>
      <c r="BQ25" s="58">
        <f>IF(BQ13=0,0,BQ24/BQ13)</f>
        <v/>
      </c>
    </row>
    <row r="26"/>
    <row r="27">
      <c r="B27" s="3" t="inlineStr">
        <is>
          <t>OPERATING EXPENSE</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c r="AZ27" s="4" t="n"/>
      <c r="BA27" s="4" t="n"/>
      <c r="BB27" s="4" t="n"/>
      <c r="BC27" s="4" t="n"/>
      <c r="BD27" s="4" t="n"/>
      <c r="BE27" s="4" t="n"/>
      <c r="BF27" s="4" t="n"/>
      <c r="BG27" s="4" t="n"/>
      <c r="BH27" s="4" t="n"/>
      <c r="BI27" s="4" t="n"/>
      <c r="BJ27" s="4" t="n"/>
      <c r="BK27" s="4" t="n"/>
      <c r="BL27" s="4" t="n"/>
      <c r="BM27" s="4" t="n"/>
      <c r="BN27" s="4" t="n"/>
      <c r="BO27" s="4" t="n"/>
      <c r="BP27" s="4" t="n"/>
      <c r="BQ27" s="4" t="n"/>
    </row>
    <row r="28">
      <c r="B28" s="18" t="inlineStr">
        <is>
          <t xml:space="preserve">    Software</t>
        </is>
      </c>
      <c r="C28" s="19" t="inlineStr">
        <is>
          <t>$</t>
        </is>
      </c>
      <c r="D28" s="51">
        <f>Headcount!D20*Inputs!$D$169/12</f>
        <v/>
      </c>
      <c r="E28" s="51">
        <f>Headcount!E20*Inputs!$D$169/12</f>
        <v/>
      </c>
      <c r="F28" s="51">
        <f>Headcount!F20*Inputs!$D$169/12</f>
        <v/>
      </c>
      <c r="G28" s="51">
        <f>Headcount!G20*Inputs!$D$169/12</f>
        <v/>
      </c>
      <c r="H28" s="51">
        <f>Headcount!H20*Inputs!$D$169/12</f>
        <v/>
      </c>
      <c r="I28" s="51">
        <f>Headcount!I20*Inputs!$D$169/12</f>
        <v/>
      </c>
      <c r="J28" s="51">
        <f>Headcount!J20*Inputs!$D$169/12</f>
        <v/>
      </c>
      <c r="K28" s="51">
        <f>Headcount!K20*Inputs!$D$169/12</f>
        <v/>
      </c>
      <c r="L28" s="51">
        <f>Headcount!L20*Inputs!$D$169/12</f>
        <v/>
      </c>
      <c r="M28" s="51">
        <f>Headcount!M20*Inputs!$D$169/12</f>
        <v/>
      </c>
      <c r="N28" s="51">
        <f>Headcount!N20*Inputs!$D$169/12</f>
        <v/>
      </c>
      <c r="O28" s="51">
        <f>Headcount!O20*Inputs!$D$169/12</f>
        <v/>
      </c>
      <c r="P28" s="51">
        <f>Headcount!P20*Inputs!$D$169/12</f>
        <v/>
      </c>
      <c r="Q28" s="51">
        <f>Headcount!Q20*Inputs!$D$169/12</f>
        <v/>
      </c>
      <c r="R28" s="51">
        <f>Headcount!R20*Inputs!$D$169/12</f>
        <v/>
      </c>
      <c r="S28" s="51">
        <f>Headcount!S20*Inputs!$D$169/12</f>
        <v/>
      </c>
      <c r="T28" s="51">
        <f>Headcount!T20*Inputs!$D$169/12</f>
        <v/>
      </c>
      <c r="U28" s="51">
        <f>Headcount!U20*Inputs!$D$169/12</f>
        <v/>
      </c>
      <c r="V28" s="51">
        <f>Headcount!V20*Inputs!$D$169/12</f>
        <v/>
      </c>
      <c r="W28" s="51">
        <f>Headcount!W20*Inputs!$D$169/12</f>
        <v/>
      </c>
      <c r="X28" s="51">
        <f>Headcount!X20*Inputs!$D$169/12</f>
        <v/>
      </c>
      <c r="Y28" s="51">
        <f>Headcount!Y20*Inputs!$D$169/12</f>
        <v/>
      </c>
      <c r="Z28" s="51">
        <f>Headcount!Z20*Inputs!$D$169/12</f>
        <v/>
      </c>
      <c r="AA28" s="51">
        <f>Headcount!AA20*Inputs!$D$169/12</f>
        <v/>
      </c>
      <c r="AB28" s="51">
        <f>Headcount!AB20*Inputs!$D$169/12</f>
        <v/>
      </c>
      <c r="AC28" s="51">
        <f>Headcount!AC20*Inputs!$D$169/12</f>
        <v/>
      </c>
      <c r="AD28" s="51">
        <f>Headcount!AD20*Inputs!$D$169/12</f>
        <v/>
      </c>
      <c r="AE28" s="51">
        <f>Headcount!AE20*Inputs!$D$169/12</f>
        <v/>
      </c>
      <c r="AF28" s="51">
        <f>Headcount!AF20*Inputs!$D$169/12</f>
        <v/>
      </c>
      <c r="AG28" s="51">
        <f>Headcount!AG20*Inputs!$D$169/12</f>
        <v/>
      </c>
      <c r="AH28" s="51">
        <f>Headcount!AH20*Inputs!$D$169/12</f>
        <v/>
      </c>
      <c r="AI28" s="51">
        <f>Headcount!AI20*Inputs!$D$169/12</f>
        <v/>
      </c>
      <c r="AJ28" s="51">
        <f>Headcount!AJ20*Inputs!$D$169/12</f>
        <v/>
      </c>
      <c r="AK28" s="51">
        <f>Headcount!AK20*Inputs!$D$169/12</f>
        <v/>
      </c>
      <c r="AL28" s="51">
        <f>Headcount!AL20*Inputs!$D$169/12</f>
        <v/>
      </c>
      <c r="AM28" s="51">
        <f>Headcount!AM20*Inputs!$D$169/12</f>
        <v/>
      </c>
      <c r="AN28" s="51">
        <f>Headcount!AN20*Inputs!$D$169/12</f>
        <v/>
      </c>
      <c r="AO28" s="51">
        <f>Headcount!AO20*Inputs!$D$169/12</f>
        <v/>
      </c>
      <c r="AP28" s="51">
        <f>Headcount!AP20*Inputs!$D$169/12</f>
        <v/>
      </c>
      <c r="AQ28" s="51">
        <f>Headcount!AQ20*Inputs!$D$169/12</f>
        <v/>
      </c>
      <c r="AR28" s="51">
        <f>Headcount!AR20*Inputs!$D$169/12</f>
        <v/>
      </c>
      <c r="AS28" s="51">
        <f>Headcount!AS20*Inputs!$D$169/12</f>
        <v/>
      </c>
      <c r="AT28" s="51">
        <f>Headcount!AT20*Inputs!$D$169/12</f>
        <v/>
      </c>
      <c r="AU28" s="51">
        <f>Headcount!AU20*Inputs!$D$169/12</f>
        <v/>
      </c>
      <c r="AV28" s="51">
        <f>Headcount!AV20*Inputs!$D$169/12</f>
        <v/>
      </c>
      <c r="AW28" s="51">
        <f>Headcount!AW20*Inputs!$D$169/12</f>
        <v/>
      </c>
      <c r="AX28" s="51">
        <f>Headcount!AX20*Inputs!$D$169/12</f>
        <v/>
      </c>
      <c r="AY28" s="51">
        <f>Headcount!AY20*Inputs!$D$169/12</f>
        <v/>
      </c>
      <c r="AZ28" s="51">
        <f>Headcount!AZ20*Inputs!$D$169/12</f>
        <v/>
      </c>
      <c r="BA28" s="51">
        <f>Headcount!BA20*Inputs!$D$169/12</f>
        <v/>
      </c>
      <c r="BB28" s="51">
        <f>Headcount!BB20*Inputs!$D$169/12</f>
        <v/>
      </c>
      <c r="BC28" s="51">
        <f>Headcount!BC20*Inputs!$D$169/12</f>
        <v/>
      </c>
      <c r="BD28" s="51">
        <f>Headcount!BD20*Inputs!$D$169/12</f>
        <v/>
      </c>
      <c r="BE28" s="51">
        <f>Headcount!BE20*Inputs!$D$169/12</f>
        <v/>
      </c>
      <c r="BF28" s="51">
        <f>Headcount!BF20*Inputs!$D$169/12</f>
        <v/>
      </c>
      <c r="BG28" s="51">
        <f>Headcount!BG20*Inputs!$D$169/12</f>
        <v/>
      </c>
      <c r="BH28" s="51">
        <f>Headcount!BH20*Inputs!$D$169/12</f>
        <v/>
      </c>
      <c r="BI28" s="51">
        <f>Headcount!BI20*Inputs!$D$169/12</f>
        <v/>
      </c>
      <c r="BJ28" s="51">
        <f>Headcount!BJ20*Inputs!$D$169/12</f>
        <v/>
      </c>
      <c r="BK28" s="51">
        <f>Headcount!BK20*Inputs!$D$169/12</f>
        <v/>
      </c>
    </row>
    <row r="29">
      <c r="B29" s="18" t="inlineStr">
        <is>
          <t xml:space="preserve">    Travel and entertainment</t>
        </is>
      </c>
      <c r="C29" s="19" t="inlineStr">
        <is>
          <t>$</t>
        </is>
      </c>
      <c r="D29" s="51">
        <f>Headcount!D20*Inputs!$D$170/12</f>
        <v/>
      </c>
      <c r="E29" s="51">
        <f>Headcount!E20*Inputs!$D$170/12</f>
        <v/>
      </c>
      <c r="F29" s="51">
        <f>Headcount!F20*Inputs!$D$170/12</f>
        <v/>
      </c>
      <c r="G29" s="51">
        <f>Headcount!G20*Inputs!$D$170/12</f>
        <v/>
      </c>
      <c r="H29" s="51">
        <f>Headcount!H20*Inputs!$D$170/12</f>
        <v/>
      </c>
      <c r="I29" s="51">
        <f>Headcount!I20*Inputs!$D$170/12</f>
        <v/>
      </c>
      <c r="J29" s="51">
        <f>Headcount!J20*Inputs!$D$170/12</f>
        <v/>
      </c>
      <c r="K29" s="51">
        <f>Headcount!K20*Inputs!$D$170/12</f>
        <v/>
      </c>
      <c r="L29" s="51">
        <f>Headcount!L20*Inputs!$D$170/12</f>
        <v/>
      </c>
      <c r="M29" s="51">
        <f>Headcount!M20*Inputs!$D$170/12</f>
        <v/>
      </c>
      <c r="N29" s="51">
        <f>Headcount!N20*Inputs!$D$170/12</f>
        <v/>
      </c>
      <c r="O29" s="51">
        <f>Headcount!O20*Inputs!$D$170/12</f>
        <v/>
      </c>
      <c r="P29" s="51">
        <f>Headcount!P20*Inputs!$D$170/12</f>
        <v/>
      </c>
      <c r="Q29" s="51">
        <f>Headcount!Q20*Inputs!$D$170/12</f>
        <v/>
      </c>
      <c r="R29" s="51">
        <f>Headcount!R20*Inputs!$D$170/12</f>
        <v/>
      </c>
      <c r="S29" s="51">
        <f>Headcount!S20*Inputs!$D$170/12</f>
        <v/>
      </c>
      <c r="T29" s="51">
        <f>Headcount!T20*Inputs!$D$170/12</f>
        <v/>
      </c>
      <c r="U29" s="51">
        <f>Headcount!U20*Inputs!$D$170/12</f>
        <v/>
      </c>
      <c r="V29" s="51">
        <f>Headcount!V20*Inputs!$D$170/12</f>
        <v/>
      </c>
      <c r="W29" s="51">
        <f>Headcount!W20*Inputs!$D$170/12</f>
        <v/>
      </c>
      <c r="X29" s="51">
        <f>Headcount!X20*Inputs!$D$170/12</f>
        <v/>
      </c>
      <c r="Y29" s="51">
        <f>Headcount!Y20*Inputs!$D$170/12</f>
        <v/>
      </c>
      <c r="Z29" s="51">
        <f>Headcount!Z20*Inputs!$D$170/12</f>
        <v/>
      </c>
      <c r="AA29" s="51">
        <f>Headcount!AA20*Inputs!$D$170/12</f>
        <v/>
      </c>
      <c r="AB29" s="51">
        <f>Headcount!AB20*Inputs!$D$170/12</f>
        <v/>
      </c>
      <c r="AC29" s="51">
        <f>Headcount!AC20*Inputs!$D$170/12</f>
        <v/>
      </c>
      <c r="AD29" s="51">
        <f>Headcount!AD20*Inputs!$D$170/12</f>
        <v/>
      </c>
      <c r="AE29" s="51">
        <f>Headcount!AE20*Inputs!$D$170/12</f>
        <v/>
      </c>
      <c r="AF29" s="51">
        <f>Headcount!AF20*Inputs!$D$170/12</f>
        <v/>
      </c>
      <c r="AG29" s="51">
        <f>Headcount!AG20*Inputs!$D$170/12</f>
        <v/>
      </c>
      <c r="AH29" s="51">
        <f>Headcount!AH20*Inputs!$D$170/12</f>
        <v/>
      </c>
      <c r="AI29" s="51">
        <f>Headcount!AI20*Inputs!$D$170/12</f>
        <v/>
      </c>
      <c r="AJ29" s="51">
        <f>Headcount!AJ20*Inputs!$D$170/12</f>
        <v/>
      </c>
      <c r="AK29" s="51">
        <f>Headcount!AK20*Inputs!$D$170/12</f>
        <v/>
      </c>
      <c r="AL29" s="51">
        <f>Headcount!AL20*Inputs!$D$170/12</f>
        <v/>
      </c>
      <c r="AM29" s="51">
        <f>Headcount!AM20*Inputs!$D$170/12</f>
        <v/>
      </c>
      <c r="AN29" s="51">
        <f>Headcount!AN20*Inputs!$D$170/12</f>
        <v/>
      </c>
      <c r="AO29" s="51">
        <f>Headcount!AO20*Inputs!$D$170/12</f>
        <v/>
      </c>
      <c r="AP29" s="51">
        <f>Headcount!AP20*Inputs!$D$170/12</f>
        <v/>
      </c>
      <c r="AQ29" s="51">
        <f>Headcount!AQ20*Inputs!$D$170/12</f>
        <v/>
      </c>
      <c r="AR29" s="51">
        <f>Headcount!AR20*Inputs!$D$170/12</f>
        <v/>
      </c>
      <c r="AS29" s="51">
        <f>Headcount!AS20*Inputs!$D$170/12</f>
        <v/>
      </c>
      <c r="AT29" s="51">
        <f>Headcount!AT20*Inputs!$D$170/12</f>
        <v/>
      </c>
      <c r="AU29" s="51">
        <f>Headcount!AU20*Inputs!$D$170/12</f>
        <v/>
      </c>
      <c r="AV29" s="51">
        <f>Headcount!AV20*Inputs!$D$170/12</f>
        <v/>
      </c>
      <c r="AW29" s="51">
        <f>Headcount!AW20*Inputs!$D$170/12</f>
        <v/>
      </c>
      <c r="AX29" s="51">
        <f>Headcount!AX20*Inputs!$D$170/12</f>
        <v/>
      </c>
      <c r="AY29" s="51">
        <f>Headcount!AY20*Inputs!$D$170/12</f>
        <v/>
      </c>
      <c r="AZ29" s="51">
        <f>Headcount!AZ20*Inputs!$D$170/12</f>
        <v/>
      </c>
      <c r="BA29" s="51">
        <f>Headcount!BA20*Inputs!$D$170/12</f>
        <v/>
      </c>
      <c r="BB29" s="51">
        <f>Headcount!BB20*Inputs!$D$170/12</f>
        <v/>
      </c>
      <c r="BC29" s="51">
        <f>Headcount!BC20*Inputs!$D$170/12</f>
        <v/>
      </c>
      <c r="BD29" s="51">
        <f>Headcount!BD20*Inputs!$D$170/12</f>
        <v/>
      </c>
      <c r="BE29" s="51">
        <f>Headcount!BE20*Inputs!$D$170/12</f>
        <v/>
      </c>
      <c r="BF29" s="51">
        <f>Headcount!BF20*Inputs!$D$170/12</f>
        <v/>
      </c>
      <c r="BG29" s="51">
        <f>Headcount!BG20*Inputs!$D$170/12</f>
        <v/>
      </c>
      <c r="BH29" s="51">
        <f>Headcount!BH20*Inputs!$D$170/12</f>
        <v/>
      </c>
      <c r="BI29" s="51">
        <f>Headcount!BI20*Inputs!$D$170/12</f>
        <v/>
      </c>
      <c r="BJ29" s="51">
        <f>Headcount!BJ20*Inputs!$D$170/12</f>
        <v/>
      </c>
      <c r="BK29" s="51">
        <f>Headcount!BK20*Inputs!$D$170/12</f>
        <v/>
      </c>
    </row>
    <row r="30">
      <c r="B30" s="18" t="inlineStr">
        <is>
          <t xml:space="preserve">    Facilities including office step</t>
        </is>
      </c>
      <c r="C30" s="19" t="inlineStr">
        <is>
          <t>$</t>
        </is>
      </c>
      <c r="D30" s="51">
        <f>Headcount!D20*Inputs!$D$172/12+IF(Headcount!D20&gt;=Inputs!$D$173,Inputs!$D$174/12,0)</f>
        <v/>
      </c>
      <c r="E30" s="51">
        <f>Headcount!E20*Inputs!$D$172/12+IF(Headcount!E20&gt;=Inputs!$D$173,Inputs!$D$174/12,0)</f>
        <v/>
      </c>
      <c r="F30" s="51">
        <f>Headcount!F20*Inputs!$D$172/12+IF(Headcount!F20&gt;=Inputs!$D$173,Inputs!$D$174/12,0)</f>
        <v/>
      </c>
      <c r="G30" s="51">
        <f>Headcount!G20*Inputs!$D$172/12+IF(Headcount!G20&gt;=Inputs!$D$173,Inputs!$D$174/12,0)</f>
        <v/>
      </c>
      <c r="H30" s="51">
        <f>Headcount!H20*Inputs!$D$172/12+IF(Headcount!H20&gt;=Inputs!$D$173,Inputs!$D$174/12,0)</f>
        <v/>
      </c>
      <c r="I30" s="51">
        <f>Headcount!I20*Inputs!$D$172/12+IF(Headcount!I20&gt;=Inputs!$D$173,Inputs!$D$174/12,0)</f>
        <v/>
      </c>
      <c r="J30" s="51">
        <f>Headcount!J20*Inputs!$D$172/12+IF(Headcount!J20&gt;=Inputs!$D$173,Inputs!$D$174/12,0)</f>
        <v/>
      </c>
      <c r="K30" s="51">
        <f>Headcount!K20*Inputs!$D$172/12+IF(Headcount!K20&gt;=Inputs!$D$173,Inputs!$D$174/12,0)</f>
        <v/>
      </c>
      <c r="L30" s="51">
        <f>Headcount!L20*Inputs!$D$172/12+IF(Headcount!L20&gt;=Inputs!$D$173,Inputs!$D$174/12,0)</f>
        <v/>
      </c>
      <c r="M30" s="51">
        <f>Headcount!M20*Inputs!$D$172/12+IF(Headcount!M20&gt;=Inputs!$D$173,Inputs!$D$174/12,0)</f>
        <v/>
      </c>
      <c r="N30" s="51">
        <f>Headcount!N20*Inputs!$D$172/12+IF(Headcount!N20&gt;=Inputs!$D$173,Inputs!$D$174/12,0)</f>
        <v/>
      </c>
      <c r="O30" s="51">
        <f>Headcount!O20*Inputs!$D$172/12+IF(Headcount!O20&gt;=Inputs!$D$173,Inputs!$D$174/12,0)</f>
        <v/>
      </c>
      <c r="P30" s="51">
        <f>Headcount!P20*Inputs!$D$172/12+IF(Headcount!P20&gt;=Inputs!$D$173,Inputs!$D$174/12,0)</f>
        <v/>
      </c>
      <c r="Q30" s="51">
        <f>Headcount!Q20*Inputs!$D$172/12+IF(Headcount!Q20&gt;=Inputs!$D$173,Inputs!$D$174/12,0)</f>
        <v/>
      </c>
      <c r="R30" s="51">
        <f>Headcount!R20*Inputs!$D$172/12+IF(Headcount!R20&gt;=Inputs!$D$173,Inputs!$D$174/12,0)</f>
        <v/>
      </c>
      <c r="S30" s="51">
        <f>Headcount!S20*Inputs!$D$172/12+IF(Headcount!S20&gt;=Inputs!$D$173,Inputs!$D$174/12,0)</f>
        <v/>
      </c>
      <c r="T30" s="51">
        <f>Headcount!T20*Inputs!$D$172/12+IF(Headcount!T20&gt;=Inputs!$D$173,Inputs!$D$174/12,0)</f>
        <v/>
      </c>
      <c r="U30" s="51">
        <f>Headcount!U20*Inputs!$D$172/12+IF(Headcount!U20&gt;=Inputs!$D$173,Inputs!$D$174/12,0)</f>
        <v/>
      </c>
      <c r="V30" s="51">
        <f>Headcount!V20*Inputs!$D$172/12+IF(Headcount!V20&gt;=Inputs!$D$173,Inputs!$D$174/12,0)</f>
        <v/>
      </c>
      <c r="W30" s="51">
        <f>Headcount!W20*Inputs!$D$172/12+IF(Headcount!W20&gt;=Inputs!$D$173,Inputs!$D$174/12,0)</f>
        <v/>
      </c>
      <c r="X30" s="51">
        <f>Headcount!X20*Inputs!$D$172/12+IF(Headcount!X20&gt;=Inputs!$D$173,Inputs!$D$174/12,0)</f>
        <v/>
      </c>
      <c r="Y30" s="51">
        <f>Headcount!Y20*Inputs!$D$172/12+IF(Headcount!Y20&gt;=Inputs!$D$173,Inputs!$D$174/12,0)</f>
        <v/>
      </c>
      <c r="Z30" s="51">
        <f>Headcount!Z20*Inputs!$D$172/12+IF(Headcount!Z20&gt;=Inputs!$D$173,Inputs!$D$174/12,0)</f>
        <v/>
      </c>
      <c r="AA30" s="51">
        <f>Headcount!AA20*Inputs!$D$172/12+IF(Headcount!AA20&gt;=Inputs!$D$173,Inputs!$D$174/12,0)</f>
        <v/>
      </c>
      <c r="AB30" s="51">
        <f>Headcount!AB20*Inputs!$D$172/12+IF(Headcount!AB20&gt;=Inputs!$D$173,Inputs!$D$174/12,0)</f>
        <v/>
      </c>
      <c r="AC30" s="51">
        <f>Headcount!AC20*Inputs!$D$172/12+IF(Headcount!AC20&gt;=Inputs!$D$173,Inputs!$D$174/12,0)</f>
        <v/>
      </c>
      <c r="AD30" s="51">
        <f>Headcount!AD20*Inputs!$D$172/12+IF(Headcount!AD20&gt;=Inputs!$D$173,Inputs!$D$174/12,0)</f>
        <v/>
      </c>
      <c r="AE30" s="51">
        <f>Headcount!AE20*Inputs!$D$172/12+IF(Headcount!AE20&gt;=Inputs!$D$173,Inputs!$D$174/12,0)</f>
        <v/>
      </c>
      <c r="AF30" s="51">
        <f>Headcount!AF20*Inputs!$D$172/12+IF(Headcount!AF20&gt;=Inputs!$D$173,Inputs!$D$174/12,0)</f>
        <v/>
      </c>
      <c r="AG30" s="51">
        <f>Headcount!AG20*Inputs!$D$172/12+IF(Headcount!AG20&gt;=Inputs!$D$173,Inputs!$D$174/12,0)</f>
        <v/>
      </c>
      <c r="AH30" s="51">
        <f>Headcount!AH20*Inputs!$D$172/12+IF(Headcount!AH20&gt;=Inputs!$D$173,Inputs!$D$174/12,0)</f>
        <v/>
      </c>
      <c r="AI30" s="51">
        <f>Headcount!AI20*Inputs!$D$172/12+IF(Headcount!AI20&gt;=Inputs!$D$173,Inputs!$D$174/12,0)</f>
        <v/>
      </c>
      <c r="AJ30" s="51">
        <f>Headcount!AJ20*Inputs!$D$172/12+IF(Headcount!AJ20&gt;=Inputs!$D$173,Inputs!$D$174/12,0)</f>
        <v/>
      </c>
      <c r="AK30" s="51">
        <f>Headcount!AK20*Inputs!$D$172/12+IF(Headcount!AK20&gt;=Inputs!$D$173,Inputs!$D$174/12,0)</f>
        <v/>
      </c>
      <c r="AL30" s="51">
        <f>Headcount!AL20*Inputs!$D$172/12+IF(Headcount!AL20&gt;=Inputs!$D$173,Inputs!$D$174/12,0)</f>
        <v/>
      </c>
      <c r="AM30" s="51">
        <f>Headcount!AM20*Inputs!$D$172/12+IF(Headcount!AM20&gt;=Inputs!$D$173,Inputs!$D$174/12,0)</f>
        <v/>
      </c>
      <c r="AN30" s="51">
        <f>Headcount!AN20*Inputs!$D$172/12+IF(Headcount!AN20&gt;=Inputs!$D$173,Inputs!$D$174/12,0)</f>
        <v/>
      </c>
      <c r="AO30" s="51">
        <f>Headcount!AO20*Inputs!$D$172/12+IF(Headcount!AO20&gt;=Inputs!$D$173,Inputs!$D$174/12,0)</f>
        <v/>
      </c>
      <c r="AP30" s="51">
        <f>Headcount!AP20*Inputs!$D$172/12+IF(Headcount!AP20&gt;=Inputs!$D$173,Inputs!$D$174/12,0)</f>
        <v/>
      </c>
      <c r="AQ30" s="51">
        <f>Headcount!AQ20*Inputs!$D$172/12+IF(Headcount!AQ20&gt;=Inputs!$D$173,Inputs!$D$174/12,0)</f>
        <v/>
      </c>
      <c r="AR30" s="51">
        <f>Headcount!AR20*Inputs!$D$172/12+IF(Headcount!AR20&gt;=Inputs!$D$173,Inputs!$D$174/12,0)</f>
        <v/>
      </c>
      <c r="AS30" s="51">
        <f>Headcount!AS20*Inputs!$D$172/12+IF(Headcount!AS20&gt;=Inputs!$D$173,Inputs!$D$174/12,0)</f>
        <v/>
      </c>
      <c r="AT30" s="51">
        <f>Headcount!AT20*Inputs!$D$172/12+IF(Headcount!AT20&gt;=Inputs!$D$173,Inputs!$D$174/12,0)</f>
        <v/>
      </c>
      <c r="AU30" s="51">
        <f>Headcount!AU20*Inputs!$D$172/12+IF(Headcount!AU20&gt;=Inputs!$D$173,Inputs!$D$174/12,0)</f>
        <v/>
      </c>
      <c r="AV30" s="51">
        <f>Headcount!AV20*Inputs!$D$172/12+IF(Headcount!AV20&gt;=Inputs!$D$173,Inputs!$D$174/12,0)</f>
        <v/>
      </c>
      <c r="AW30" s="51">
        <f>Headcount!AW20*Inputs!$D$172/12+IF(Headcount!AW20&gt;=Inputs!$D$173,Inputs!$D$174/12,0)</f>
        <v/>
      </c>
      <c r="AX30" s="51">
        <f>Headcount!AX20*Inputs!$D$172/12+IF(Headcount!AX20&gt;=Inputs!$D$173,Inputs!$D$174/12,0)</f>
        <v/>
      </c>
      <c r="AY30" s="51">
        <f>Headcount!AY20*Inputs!$D$172/12+IF(Headcount!AY20&gt;=Inputs!$D$173,Inputs!$D$174/12,0)</f>
        <v/>
      </c>
      <c r="AZ30" s="51">
        <f>Headcount!AZ20*Inputs!$D$172/12+IF(Headcount!AZ20&gt;=Inputs!$D$173,Inputs!$D$174/12,0)</f>
        <v/>
      </c>
      <c r="BA30" s="51">
        <f>Headcount!BA20*Inputs!$D$172/12+IF(Headcount!BA20&gt;=Inputs!$D$173,Inputs!$D$174/12,0)</f>
        <v/>
      </c>
      <c r="BB30" s="51">
        <f>Headcount!BB20*Inputs!$D$172/12+IF(Headcount!BB20&gt;=Inputs!$D$173,Inputs!$D$174/12,0)</f>
        <v/>
      </c>
      <c r="BC30" s="51">
        <f>Headcount!BC20*Inputs!$D$172/12+IF(Headcount!BC20&gt;=Inputs!$D$173,Inputs!$D$174/12,0)</f>
        <v/>
      </c>
      <c r="BD30" s="51">
        <f>Headcount!BD20*Inputs!$D$172/12+IF(Headcount!BD20&gt;=Inputs!$D$173,Inputs!$D$174/12,0)</f>
        <v/>
      </c>
      <c r="BE30" s="51">
        <f>Headcount!BE20*Inputs!$D$172/12+IF(Headcount!BE20&gt;=Inputs!$D$173,Inputs!$D$174/12,0)</f>
        <v/>
      </c>
      <c r="BF30" s="51">
        <f>Headcount!BF20*Inputs!$D$172/12+IF(Headcount!BF20&gt;=Inputs!$D$173,Inputs!$D$174/12,0)</f>
        <v/>
      </c>
      <c r="BG30" s="51">
        <f>Headcount!BG20*Inputs!$D$172/12+IF(Headcount!BG20&gt;=Inputs!$D$173,Inputs!$D$174/12,0)</f>
        <v/>
      </c>
      <c r="BH30" s="51">
        <f>Headcount!BH20*Inputs!$D$172/12+IF(Headcount!BH20&gt;=Inputs!$D$173,Inputs!$D$174/12,0)</f>
        <v/>
      </c>
      <c r="BI30" s="51">
        <f>Headcount!BI20*Inputs!$D$172/12+IF(Headcount!BI20&gt;=Inputs!$D$173,Inputs!$D$174/12,0)</f>
        <v/>
      </c>
      <c r="BJ30" s="51">
        <f>Headcount!BJ20*Inputs!$D$172/12+IF(Headcount!BJ20&gt;=Inputs!$D$173,Inputs!$D$174/12,0)</f>
        <v/>
      </c>
      <c r="BK30" s="51">
        <f>Headcount!BK20*Inputs!$D$172/12+IF(Headcount!BK20&gt;=Inputs!$D$173,Inputs!$D$174/12,0)</f>
        <v/>
      </c>
    </row>
    <row r="31">
      <c r="B31" s="18" t="inlineStr">
        <is>
          <t xml:space="preserve">    Other G&amp;A</t>
        </is>
      </c>
      <c r="C31" s="19" t="inlineStr">
        <is>
          <t>$</t>
        </is>
      </c>
      <c r="D31" s="51">
        <f>Headcount!D20*Inputs!$D$171/12</f>
        <v/>
      </c>
      <c r="E31" s="51">
        <f>Headcount!E20*Inputs!$D$171/12</f>
        <v/>
      </c>
      <c r="F31" s="51">
        <f>Headcount!F20*Inputs!$D$171/12</f>
        <v/>
      </c>
      <c r="G31" s="51">
        <f>Headcount!G20*Inputs!$D$171/12</f>
        <v/>
      </c>
      <c r="H31" s="51">
        <f>Headcount!H20*Inputs!$D$171/12</f>
        <v/>
      </c>
      <c r="I31" s="51">
        <f>Headcount!I20*Inputs!$D$171/12</f>
        <v/>
      </c>
      <c r="J31" s="51">
        <f>Headcount!J20*Inputs!$D$171/12</f>
        <v/>
      </c>
      <c r="K31" s="51">
        <f>Headcount!K20*Inputs!$D$171/12</f>
        <v/>
      </c>
      <c r="L31" s="51">
        <f>Headcount!L20*Inputs!$D$171/12</f>
        <v/>
      </c>
      <c r="M31" s="51">
        <f>Headcount!M20*Inputs!$D$171/12</f>
        <v/>
      </c>
      <c r="N31" s="51">
        <f>Headcount!N20*Inputs!$D$171/12</f>
        <v/>
      </c>
      <c r="O31" s="51">
        <f>Headcount!O20*Inputs!$D$171/12</f>
        <v/>
      </c>
      <c r="P31" s="51">
        <f>Headcount!P20*Inputs!$D$171/12</f>
        <v/>
      </c>
      <c r="Q31" s="51">
        <f>Headcount!Q20*Inputs!$D$171/12</f>
        <v/>
      </c>
      <c r="R31" s="51">
        <f>Headcount!R20*Inputs!$D$171/12</f>
        <v/>
      </c>
      <c r="S31" s="51">
        <f>Headcount!S20*Inputs!$D$171/12</f>
        <v/>
      </c>
      <c r="T31" s="51">
        <f>Headcount!T20*Inputs!$D$171/12</f>
        <v/>
      </c>
      <c r="U31" s="51">
        <f>Headcount!U20*Inputs!$D$171/12</f>
        <v/>
      </c>
      <c r="V31" s="51">
        <f>Headcount!V20*Inputs!$D$171/12</f>
        <v/>
      </c>
      <c r="W31" s="51">
        <f>Headcount!W20*Inputs!$D$171/12</f>
        <v/>
      </c>
      <c r="X31" s="51">
        <f>Headcount!X20*Inputs!$D$171/12</f>
        <v/>
      </c>
      <c r="Y31" s="51">
        <f>Headcount!Y20*Inputs!$D$171/12</f>
        <v/>
      </c>
      <c r="Z31" s="51">
        <f>Headcount!Z20*Inputs!$D$171/12</f>
        <v/>
      </c>
      <c r="AA31" s="51">
        <f>Headcount!AA20*Inputs!$D$171/12</f>
        <v/>
      </c>
      <c r="AB31" s="51">
        <f>Headcount!AB20*Inputs!$D$171/12</f>
        <v/>
      </c>
      <c r="AC31" s="51">
        <f>Headcount!AC20*Inputs!$D$171/12</f>
        <v/>
      </c>
      <c r="AD31" s="51">
        <f>Headcount!AD20*Inputs!$D$171/12</f>
        <v/>
      </c>
      <c r="AE31" s="51">
        <f>Headcount!AE20*Inputs!$D$171/12</f>
        <v/>
      </c>
      <c r="AF31" s="51">
        <f>Headcount!AF20*Inputs!$D$171/12</f>
        <v/>
      </c>
      <c r="AG31" s="51">
        <f>Headcount!AG20*Inputs!$D$171/12</f>
        <v/>
      </c>
      <c r="AH31" s="51">
        <f>Headcount!AH20*Inputs!$D$171/12</f>
        <v/>
      </c>
      <c r="AI31" s="51">
        <f>Headcount!AI20*Inputs!$D$171/12</f>
        <v/>
      </c>
      <c r="AJ31" s="51">
        <f>Headcount!AJ20*Inputs!$D$171/12</f>
        <v/>
      </c>
      <c r="AK31" s="51">
        <f>Headcount!AK20*Inputs!$D$171/12</f>
        <v/>
      </c>
      <c r="AL31" s="51">
        <f>Headcount!AL20*Inputs!$D$171/12</f>
        <v/>
      </c>
      <c r="AM31" s="51">
        <f>Headcount!AM20*Inputs!$D$171/12</f>
        <v/>
      </c>
      <c r="AN31" s="51">
        <f>Headcount!AN20*Inputs!$D$171/12</f>
        <v/>
      </c>
      <c r="AO31" s="51">
        <f>Headcount!AO20*Inputs!$D$171/12</f>
        <v/>
      </c>
      <c r="AP31" s="51">
        <f>Headcount!AP20*Inputs!$D$171/12</f>
        <v/>
      </c>
      <c r="AQ31" s="51">
        <f>Headcount!AQ20*Inputs!$D$171/12</f>
        <v/>
      </c>
      <c r="AR31" s="51">
        <f>Headcount!AR20*Inputs!$D$171/12</f>
        <v/>
      </c>
      <c r="AS31" s="51">
        <f>Headcount!AS20*Inputs!$D$171/12</f>
        <v/>
      </c>
      <c r="AT31" s="51">
        <f>Headcount!AT20*Inputs!$D$171/12</f>
        <v/>
      </c>
      <c r="AU31" s="51">
        <f>Headcount!AU20*Inputs!$D$171/12</f>
        <v/>
      </c>
      <c r="AV31" s="51">
        <f>Headcount!AV20*Inputs!$D$171/12</f>
        <v/>
      </c>
      <c r="AW31" s="51">
        <f>Headcount!AW20*Inputs!$D$171/12</f>
        <v/>
      </c>
      <c r="AX31" s="51">
        <f>Headcount!AX20*Inputs!$D$171/12</f>
        <v/>
      </c>
      <c r="AY31" s="51">
        <f>Headcount!AY20*Inputs!$D$171/12</f>
        <v/>
      </c>
      <c r="AZ31" s="51">
        <f>Headcount!AZ20*Inputs!$D$171/12</f>
        <v/>
      </c>
      <c r="BA31" s="51">
        <f>Headcount!BA20*Inputs!$D$171/12</f>
        <v/>
      </c>
      <c r="BB31" s="51">
        <f>Headcount!BB20*Inputs!$D$171/12</f>
        <v/>
      </c>
      <c r="BC31" s="51">
        <f>Headcount!BC20*Inputs!$D$171/12</f>
        <v/>
      </c>
      <c r="BD31" s="51">
        <f>Headcount!BD20*Inputs!$D$171/12</f>
        <v/>
      </c>
      <c r="BE31" s="51">
        <f>Headcount!BE20*Inputs!$D$171/12</f>
        <v/>
      </c>
      <c r="BF31" s="51">
        <f>Headcount!BF20*Inputs!$D$171/12</f>
        <v/>
      </c>
      <c r="BG31" s="51">
        <f>Headcount!BG20*Inputs!$D$171/12</f>
        <v/>
      </c>
      <c r="BH31" s="51">
        <f>Headcount!BH20*Inputs!$D$171/12</f>
        <v/>
      </c>
      <c r="BI31" s="51">
        <f>Headcount!BI20*Inputs!$D$171/12</f>
        <v/>
      </c>
      <c r="BJ31" s="51">
        <f>Headcount!BJ20*Inputs!$D$171/12</f>
        <v/>
      </c>
      <c r="BK31" s="51">
        <f>Headcount!BK20*Inputs!$D$171/12</f>
        <v/>
      </c>
    </row>
    <row r="32">
      <c r="B32" s="18" t="inlineStr">
        <is>
          <t xml:space="preserve">    R&amp;D compute</t>
        </is>
      </c>
      <c r="C32" s="19" t="inlineStr">
        <is>
          <t>$</t>
        </is>
      </c>
      <c r="D32" s="51">
        <f>D13*INDEX(Inputs!$D$175:$H$175,1,D$6-2025)</f>
        <v/>
      </c>
      <c r="E32" s="51">
        <f>E13*INDEX(Inputs!$D$175:$H$175,1,E$6-2025)</f>
        <v/>
      </c>
      <c r="F32" s="51">
        <f>F13*INDEX(Inputs!$D$175:$H$175,1,F$6-2025)</f>
        <v/>
      </c>
      <c r="G32" s="51">
        <f>G13*INDEX(Inputs!$D$175:$H$175,1,G$6-2025)</f>
        <v/>
      </c>
      <c r="H32" s="51">
        <f>H13*INDEX(Inputs!$D$175:$H$175,1,H$6-2025)</f>
        <v/>
      </c>
      <c r="I32" s="51">
        <f>I13*INDEX(Inputs!$D$175:$H$175,1,I$6-2025)</f>
        <v/>
      </c>
      <c r="J32" s="51">
        <f>J13*INDEX(Inputs!$D$175:$H$175,1,J$6-2025)</f>
        <v/>
      </c>
      <c r="K32" s="51">
        <f>K13*INDEX(Inputs!$D$175:$H$175,1,K$6-2025)</f>
        <v/>
      </c>
      <c r="L32" s="51">
        <f>L13*INDEX(Inputs!$D$175:$H$175,1,L$6-2025)</f>
        <v/>
      </c>
      <c r="M32" s="51">
        <f>M13*INDEX(Inputs!$D$175:$H$175,1,M$6-2025)</f>
        <v/>
      </c>
      <c r="N32" s="51">
        <f>N13*INDEX(Inputs!$D$175:$H$175,1,N$6-2025)</f>
        <v/>
      </c>
      <c r="O32" s="51">
        <f>O13*INDEX(Inputs!$D$175:$H$175,1,O$6-2025)</f>
        <v/>
      </c>
      <c r="P32" s="51">
        <f>P13*INDEX(Inputs!$D$175:$H$175,1,P$6-2025)</f>
        <v/>
      </c>
      <c r="Q32" s="51">
        <f>Q13*INDEX(Inputs!$D$175:$H$175,1,Q$6-2025)</f>
        <v/>
      </c>
      <c r="R32" s="51">
        <f>R13*INDEX(Inputs!$D$175:$H$175,1,R$6-2025)</f>
        <v/>
      </c>
      <c r="S32" s="51">
        <f>S13*INDEX(Inputs!$D$175:$H$175,1,S$6-2025)</f>
        <v/>
      </c>
      <c r="T32" s="51">
        <f>T13*INDEX(Inputs!$D$175:$H$175,1,T$6-2025)</f>
        <v/>
      </c>
      <c r="U32" s="51">
        <f>U13*INDEX(Inputs!$D$175:$H$175,1,U$6-2025)</f>
        <v/>
      </c>
      <c r="V32" s="51">
        <f>V13*INDEX(Inputs!$D$175:$H$175,1,V$6-2025)</f>
        <v/>
      </c>
      <c r="W32" s="51">
        <f>W13*INDEX(Inputs!$D$175:$H$175,1,W$6-2025)</f>
        <v/>
      </c>
      <c r="X32" s="51">
        <f>X13*INDEX(Inputs!$D$175:$H$175,1,X$6-2025)</f>
        <v/>
      </c>
      <c r="Y32" s="51">
        <f>Y13*INDEX(Inputs!$D$175:$H$175,1,Y$6-2025)</f>
        <v/>
      </c>
      <c r="Z32" s="51">
        <f>Z13*INDEX(Inputs!$D$175:$H$175,1,Z$6-2025)</f>
        <v/>
      </c>
      <c r="AA32" s="51">
        <f>AA13*INDEX(Inputs!$D$175:$H$175,1,AA$6-2025)</f>
        <v/>
      </c>
      <c r="AB32" s="51">
        <f>AB13*INDEX(Inputs!$D$175:$H$175,1,AB$6-2025)</f>
        <v/>
      </c>
      <c r="AC32" s="51">
        <f>AC13*INDEX(Inputs!$D$175:$H$175,1,AC$6-2025)</f>
        <v/>
      </c>
      <c r="AD32" s="51">
        <f>AD13*INDEX(Inputs!$D$175:$H$175,1,AD$6-2025)</f>
        <v/>
      </c>
      <c r="AE32" s="51">
        <f>AE13*INDEX(Inputs!$D$175:$H$175,1,AE$6-2025)</f>
        <v/>
      </c>
      <c r="AF32" s="51">
        <f>AF13*INDEX(Inputs!$D$175:$H$175,1,AF$6-2025)</f>
        <v/>
      </c>
      <c r="AG32" s="51">
        <f>AG13*INDEX(Inputs!$D$175:$H$175,1,AG$6-2025)</f>
        <v/>
      </c>
      <c r="AH32" s="51">
        <f>AH13*INDEX(Inputs!$D$175:$H$175,1,AH$6-2025)</f>
        <v/>
      </c>
      <c r="AI32" s="51">
        <f>AI13*INDEX(Inputs!$D$175:$H$175,1,AI$6-2025)</f>
        <v/>
      </c>
      <c r="AJ32" s="51">
        <f>AJ13*INDEX(Inputs!$D$175:$H$175,1,AJ$6-2025)</f>
        <v/>
      </c>
      <c r="AK32" s="51">
        <f>AK13*INDEX(Inputs!$D$175:$H$175,1,AK$6-2025)</f>
        <v/>
      </c>
      <c r="AL32" s="51">
        <f>AL13*INDEX(Inputs!$D$175:$H$175,1,AL$6-2025)</f>
        <v/>
      </c>
      <c r="AM32" s="51">
        <f>AM13*INDEX(Inputs!$D$175:$H$175,1,AM$6-2025)</f>
        <v/>
      </c>
      <c r="AN32" s="51">
        <f>AN13*INDEX(Inputs!$D$175:$H$175,1,AN$6-2025)</f>
        <v/>
      </c>
      <c r="AO32" s="51">
        <f>AO13*INDEX(Inputs!$D$175:$H$175,1,AO$6-2025)</f>
        <v/>
      </c>
      <c r="AP32" s="51">
        <f>AP13*INDEX(Inputs!$D$175:$H$175,1,AP$6-2025)</f>
        <v/>
      </c>
      <c r="AQ32" s="51">
        <f>AQ13*INDEX(Inputs!$D$175:$H$175,1,AQ$6-2025)</f>
        <v/>
      </c>
      <c r="AR32" s="51">
        <f>AR13*INDEX(Inputs!$D$175:$H$175,1,AR$6-2025)</f>
        <v/>
      </c>
      <c r="AS32" s="51">
        <f>AS13*INDEX(Inputs!$D$175:$H$175,1,AS$6-2025)</f>
        <v/>
      </c>
      <c r="AT32" s="51">
        <f>AT13*INDEX(Inputs!$D$175:$H$175,1,AT$6-2025)</f>
        <v/>
      </c>
      <c r="AU32" s="51">
        <f>AU13*INDEX(Inputs!$D$175:$H$175,1,AU$6-2025)</f>
        <v/>
      </c>
      <c r="AV32" s="51">
        <f>AV13*INDEX(Inputs!$D$175:$H$175,1,AV$6-2025)</f>
        <v/>
      </c>
      <c r="AW32" s="51">
        <f>AW13*INDEX(Inputs!$D$175:$H$175,1,AW$6-2025)</f>
        <v/>
      </c>
      <c r="AX32" s="51">
        <f>AX13*INDEX(Inputs!$D$175:$H$175,1,AX$6-2025)</f>
        <v/>
      </c>
      <c r="AY32" s="51">
        <f>AY13*INDEX(Inputs!$D$175:$H$175,1,AY$6-2025)</f>
        <v/>
      </c>
      <c r="AZ32" s="51">
        <f>AZ13*INDEX(Inputs!$D$175:$H$175,1,AZ$6-2025)</f>
        <v/>
      </c>
      <c r="BA32" s="51">
        <f>BA13*INDEX(Inputs!$D$175:$H$175,1,BA$6-2025)</f>
        <v/>
      </c>
      <c r="BB32" s="51">
        <f>BB13*INDEX(Inputs!$D$175:$H$175,1,BB$6-2025)</f>
        <v/>
      </c>
      <c r="BC32" s="51">
        <f>BC13*INDEX(Inputs!$D$175:$H$175,1,BC$6-2025)</f>
        <v/>
      </c>
      <c r="BD32" s="51">
        <f>BD13*INDEX(Inputs!$D$175:$H$175,1,BD$6-2025)</f>
        <v/>
      </c>
      <c r="BE32" s="51">
        <f>BE13*INDEX(Inputs!$D$175:$H$175,1,BE$6-2025)</f>
        <v/>
      </c>
      <c r="BF32" s="51">
        <f>BF13*INDEX(Inputs!$D$175:$H$175,1,BF$6-2025)</f>
        <v/>
      </c>
      <c r="BG32" s="51">
        <f>BG13*INDEX(Inputs!$D$175:$H$175,1,BG$6-2025)</f>
        <v/>
      </c>
      <c r="BH32" s="51">
        <f>BH13*INDEX(Inputs!$D$175:$H$175,1,BH$6-2025)</f>
        <v/>
      </c>
      <c r="BI32" s="51">
        <f>BI13*INDEX(Inputs!$D$175:$H$175,1,BI$6-2025)</f>
        <v/>
      </c>
      <c r="BJ32" s="51">
        <f>BJ13*INDEX(Inputs!$D$175:$H$175,1,BJ$6-2025)</f>
        <v/>
      </c>
      <c r="BK32" s="51">
        <f>BK13*INDEX(Inputs!$D$175:$H$175,1,BK$6-2025)</f>
        <v/>
      </c>
    </row>
    <row r="33">
      <c r="B33" s="18" t="inlineStr">
        <is>
          <t xml:space="preserve">    Marketing programmes</t>
        </is>
      </c>
      <c r="C33" s="19" t="inlineStr">
        <is>
          <t>$</t>
        </is>
      </c>
      <c r="D33" s="48">
        <f>D13*Inputs!$D$176</f>
        <v/>
      </c>
      <c r="E33" s="48">
        <f>E13*Inputs!$D$176</f>
        <v/>
      </c>
      <c r="F33" s="48">
        <f>F13*Inputs!$D$176</f>
        <v/>
      </c>
      <c r="G33" s="48">
        <f>G13*Inputs!$D$176</f>
        <v/>
      </c>
      <c r="H33" s="48">
        <f>H13*Inputs!$D$176</f>
        <v/>
      </c>
      <c r="I33" s="48">
        <f>I13*Inputs!$D$176</f>
        <v/>
      </c>
      <c r="J33" s="48">
        <f>J13*Inputs!$D$176</f>
        <v/>
      </c>
      <c r="K33" s="48">
        <f>K13*Inputs!$D$176</f>
        <v/>
      </c>
      <c r="L33" s="48">
        <f>L13*Inputs!$D$176</f>
        <v/>
      </c>
      <c r="M33" s="48">
        <f>M13*Inputs!$D$176</f>
        <v/>
      </c>
      <c r="N33" s="48">
        <f>N13*Inputs!$D$176</f>
        <v/>
      </c>
      <c r="O33" s="48">
        <f>O13*Inputs!$D$176</f>
        <v/>
      </c>
      <c r="P33" s="48">
        <f>P13*Inputs!$D$176</f>
        <v/>
      </c>
      <c r="Q33" s="48">
        <f>Q13*Inputs!$D$176</f>
        <v/>
      </c>
      <c r="R33" s="48">
        <f>R13*Inputs!$D$176</f>
        <v/>
      </c>
      <c r="S33" s="48">
        <f>S13*Inputs!$D$176</f>
        <v/>
      </c>
      <c r="T33" s="48">
        <f>T13*Inputs!$D$176</f>
        <v/>
      </c>
      <c r="U33" s="48">
        <f>U13*Inputs!$D$176</f>
        <v/>
      </c>
      <c r="V33" s="48">
        <f>V13*Inputs!$D$176</f>
        <v/>
      </c>
      <c r="W33" s="48">
        <f>W13*Inputs!$D$176</f>
        <v/>
      </c>
      <c r="X33" s="48">
        <f>X13*Inputs!$D$176</f>
        <v/>
      </c>
      <c r="Y33" s="48">
        <f>Y13*Inputs!$D$176</f>
        <v/>
      </c>
      <c r="Z33" s="48">
        <f>Z13*Inputs!$D$176</f>
        <v/>
      </c>
      <c r="AA33" s="48">
        <f>AA13*Inputs!$D$176</f>
        <v/>
      </c>
      <c r="AB33" s="48">
        <f>AB13*Inputs!$D$176</f>
        <v/>
      </c>
      <c r="AC33" s="48">
        <f>AC13*Inputs!$D$176</f>
        <v/>
      </c>
      <c r="AD33" s="48">
        <f>AD13*Inputs!$D$176</f>
        <v/>
      </c>
      <c r="AE33" s="48">
        <f>AE13*Inputs!$D$176</f>
        <v/>
      </c>
      <c r="AF33" s="48">
        <f>AF13*Inputs!$D$176</f>
        <v/>
      </c>
      <c r="AG33" s="48">
        <f>AG13*Inputs!$D$176</f>
        <v/>
      </c>
      <c r="AH33" s="48">
        <f>AH13*Inputs!$D$176</f>
        <v/>
      </c>
      <c r="AI33" s="48">
        <f>AI13*Inputs!$D$176</f>
        <v/>
      </c>
      <c r="AJ33" s="48">
        <f>AJ13*Inputs!$D$176</f>
        <v/>
      </c>
      <c r="AK33" s="48">
        <f>AK13*Inputs!$D$176</f>
        <v/>
      </c>
      <c r="AL33" s="48">
        <f>AL13*Inputs!$D$176</f>
        <v/>
      </c>
      <c r="AM33" s="48">
        <f>AM13*Inputs!$D$176</f>
        <v/>
      </c>
      <c r="AN33" s="48">
        <f>AN13*Inputs!$D$176</f>
        <v/>
      </c>
      <c r="AO33" s="48">
        <f>AO13*Inputs!$D$176</f>
        <v/>
      </c>
      <c r="AP33" s="48">
        <f>AP13*Inputs!$D$176</f>
        <v/>
      </c>
      <c r="AQ33" s="48">
        <f>AQ13*Inputs!$D$176</f>
        <v/>
      </c>
      <c r="AR33" s="48">
        <f>AR13*Inputs!$D$176</f>
        <v/>
      </c>
      <c r="AS33" s="48">
        <f>AS13*Inputs!$D$176</f>
        <v/>
      </c>
      <c r="AT33" s="48">
        <f>AT13*Inputs!$D$176</f>
        <v/>
      </c>
      <c r="AU33" s="48">
        <f>AU13*Inputs!$D$176</f>
        <v/>
      </c>
      <c r="AV33" s="48">
        <f>AV13*Inputs!$D$176</f>
        <v/>
      </c>
      <c r="AW33" s="48">
        <f>AW13*Inputs!$D$176</f>
        <v/>
      </c>
      <c r="AX33" s="48">
        <f>AX13*Inputs!$D$176</f>
        <v/>
      </c>
      <c r="AY33" s="48">
        <f>AY13*Inputs!$D$176</f>
        <v/>
      </c>
      <c r="AZ33" s="48">
        <f>AZ13*Inputs!$D$176</f>
        <v/>
      </c>
      <c r="BA33" s="48">
        <f>BA13*Inputs!$D$176</f>
        <v/>
      </c>
      <c r="BB33" s="48">
        <f>BB13*Inputs!$D$176</f>
        <v/>
      </c>
      <c r="BC33" s="48">
        <f>BC13*Inputs!$D$176</f>
        <v/>
      </c>
      <c r="BD33" s="48">
        <f>BD13*Inputs!$D$176</f>
        <v/>
      </c>
      <c r="BE33" s="48">
        <f>BE13*Inputs!$D$176</f>
        <v/>
      </c>
      <c r="BF33" s="48">
        <f>BF13*Inputs!$D$176</f>
        <v/>
      </c>
      <c r="BG33" s="48">
        <f>BG13*Inputs!$D$176</f>
        <v/>
      </c>
      <c r="BH33" s="48">
        <f>BH13*Inputs!$D$176</f>
        <v/>
      </c>
      <c r="BI33" s="48">
        <f>BI13*Inputs!$D$176</f>
        <v/>
      </c>
      <c r="BJ33" s="48">
        <f>BJ13*Inputs!$D$176</f>
        <v/>
      </c>
      <c r="BK33" s="48">
        <f>BK13*Inputs!$D$176</f>
        <v/>
      </c>
    </row>
    <row r="34">
      <c r="B34" s="18" t="inlineStr">
        <is>
          <t xml:space="preserve">    Professional fees</t>
        </is>
      </c>
      <c r="C34" s="19" t="inlineStr">
        <is>
          <t>$</t>
        </is>
      </c>
      <c r="D34" s="48">
        <f>Inputs!$D$177*(1+Inputs!$D$178)^(D$6-2026)/12</f>
        <v/>
      </c>
      <c r="E34" s="48">
        <f>Inputs!$D$177*(1+Inputs!$D$178)^(E$6-2026)/12</f>
        <v/>
      </c>
      <c r="F34" s="48">
        <f>Inputs!$D$177*(1+Inputs!$D$178)^(F$6-2026)/12</f>
        <v/>
      </c>
      <c r="G34" s="48">
        <f>Inputs!$D$177*(1+Inputs!$D$178)^(G$6-2026)/12</f>
        <v/>
      </c>
      <c r="H34" s="48">
        <f>Inputs!$D$177*(1+Inputs!$D$178)^(H$6-2026)/12</f>
        <v/>
      </c>
      <c r="I34" s="48">
        <f>Inputs!$D$177*(1+Inputs!$D$178)^(I$6-2026)/12</f>
        <v/>
      </c>
      <c r="J34" s="48">
        <f>Inputs!$D$177*(1+Inputs!$D$178)^(J$6-2026)/12</f>
        <v/>
      </c>
      <c r="K34" s="48">
        <f>Inputs!$D$177*(1+Inputs!$D$178)^(K$6-2026)/12</f>
        <v/>
      </c>
      <c r="L34" s="48">
        <f>Inputs!$D$177*(1+Inputs!$D$178)^(L$6-2026)/12</f>
        <v/>
      </c>
      <c r="M34" s="48">
        <f>Inputs!$D$177*(1+Inputs!$D$178)^(M$6-2026)/12</f>
        <v/>
      </c>
      <c r="N34" s="48">
        <f>Inputs!$D$177*(1+Inputs!$D$178)^(N$6-2026)/12</f>
        <v/>
      </c>
      <c r="O34" s="48">
        <f>Inputs!$D$177*(1+Inputs!$D$178)^(O$6-2026)/12</f>
        <v/>
      </c>
      <c r="P34" s="48">
        <f>Inputs!$D$177*(1+Inputs!$D$178)^(P$6-2026)/12</f>
        <v/>
      </c>
      <c r="Q34" s="48">
        <f>Inputs!$D$177*(1+Inputs!$D$178)^(Q$6-2026)/12</f>
        <v/>
      </c>
      <c r="R34" s="48">
        <f>Inputs!$D$177*(1+Inputs!$D$178)^(R$6-2026)/12</f>
        <v/>
      </c>
      <c r="S34" s="48">
        <f>Inputs!$D$177*(1+Inputs!$D$178)^(S$6-2026)/12</f>
        <v/>
      </c>
      <c r="T34" s="48">
        <f>Inputs!$D$177*(1+Inputs!$D$178)^(T$6-2026)/12</f>
        <v/>
      </c>
      <c r="U34" s="48">
        <f>Inputs!$D$177*(1+Inputs!$D$178)^(U$6-2026)/12</f>
        <v/>
      </c>
      <c r="V34" s="48">
        <f>Inputs!$D$177*(1+Inputs!$D$178)^(V$6-2026)/12</f>
        <v/>
      </c>
      <c r="W34" s="48">
        <f>Inputs!$D$177*(1+Inputs!$D$178)^(W$6-2026)/12</f>
        <v/>
      </c>
      <c r="X34" s="48">
        <f>Inputs!$D$177*(1+Inputs!$D$178)^(X$6-2026)/12</f>
        <v/>
      </c>
      <c r="Y34" s="48">
        <f>Inputs!$D$177*(1+Inputs!$D$178)^(Y$6-2026)/12</f>
        <v/>
      </c>
      <c r="Z34" s="48">
        <f>Inputs!$D$177*(1+Inputs!$D$178)^(Z$6-2026)/12</f>
        <v/>
      </c>
      <c r="AA34" s="48">
        <f>Inputs!$D$177*(1+Inputs!$D$178)^(AA$6-2026)/12</f>
        <v/>
      </c>
      <c r="AB34" s="48">
        <f>Inputs!$D$177*(1+Inputs!$D$178)^(AB$6-2026)/12</f>
        <v/>
      </c>
      <c r="AC34" s="48">
        <f>Inputs!$D$177*(1+Inputs!$D$178)^(AC$6-2026)/12</f>
        <v/>
      </c>
      <c r="AD34" s="48">
        <f>Inputs!$D$177*(1+Inputs!$D$178)^(AD$6-2026)/12</f>
        <v/>
      </c>
      <c r="AE34" s="48">
        <f>Inputs!$D$177*(1+Inputs!$D$178)^(AE$6-2026)/12</f>
        <v/>
      </c>
      <c r="AF34" s="48">
        <f>Inputs!$D$177*(1+Inputs!$D$178)^(AF$6-2026)/12</f>
        <v/>
      </c>
      <c r="AG34" s="48">
        <f>Inputs!$D$177*(1+Inputs!$D$178)^(AG$6-2026)/12</f>
        <v/>
      </c>
      <c r="AH34" s="48">
        <f>Inputs!$D$177*(1+Inputs!$D$178)^(AH$6-2026)/12</f>
        <v/>
      </c>
      <c r="AI34" s="48">
        <f>Inputs!$D$177*(1+Inputs!$D$178)^(AI$6-2026)/12</f>
        <v/>
      </c>
      <c r="AJ34" s="48">
        <f>Inputs!$D$177*(1+Inputs!$D$178)^(AJ$6-2026)/12</f>
        <v/>
      </c>
      <c r="AK34" s="48">
        <f>Inputs!$D$177*(1+Inputs!$D$178)^(AK$6-2026)/12</f>
        <v/>
      </c>
      <c r="AL34" s="48">
        <f>Inputs!$D$177*(1+Inputs!$D$178)^(AL$6-2026)/12</f>
        <v/>
      </c>
      <c r="AM34" s="48">
        <f>Inputs!$D$177*(1+Inputs!$D$178)^(AM$6-2026)/12</f>
        <v/>
      </c>
      <c r="AN34" s="48">
        <f>Inputs!$D$177*(1+Inputs!$D$178)^(AN$6-2026)/12</f>
        <v/>
      </c>
      <c r="AO34" s="48">
        <f>Inputs!$D$177*(1+Inputs!$D$178)^(AO$6-2026)/12</f>
        <v/>
      </c>
      <c r="AP34" s="48">
        <f>Inputs!$D$177*(1+Inputs!$D$178)^(AP$6-2026)/12</f>
        <v/>
      </c>
      <c r="AQ34" s="48">
        <f>Inputs!$D$177*(1+Inputs!$D$178)^(AQ$6-2026)/12</f>
        <v/>
      </c>
      <c r="AR34" s="48">
        <f>Inputs!$D$177*(1+Inputs!$D$178)^(AR$6-2026)/12</f>
        <v/>
      </c>
      <c r="AS34" s="48">
        <f>Inputs!$D$177*(1+Inputs!$D$178)^(AS$6-2026)/12</f>
        <v/>
      </c>
      <c r="AT34" s="48">
        <f>Inputs!$D$177*(1+Inputs!$D$178)^(AT$6-2026)/12</f>
        <v/>
      </c>
      <c r="AU34" s="48">
        <f>Inputs!$D$177*(1+Inputs!$D$178)^(AU$6-2026)/12</f>
        <v/>
      </c>
      <c r="AV34" s="48">
        <f>Inputs!$D$177*(1+Inputs!$D$178)^(AV$6-2026)/12</f>
        <v/>
      </c>
      <c r="AW34" s="48">
        <f>Inputs!$D$177*(1+Inputs!$D$178)^(AW$6-2026)/12</f>
        <v/>
      </c>
      <c r="AX34" s="48">
        <f>Inputs!$D$177*(1+Inputs!$D$178)^(AX$6-2026)/12</f>
        <v/>
      </c>
      <c r="AY34" s="48">
        <f>Inputs!$D$177*(1+Inputs!$D$178)^(AY$6-2026)/12</f>
        <v/>
      </c>
      <c r="AZ34" s="48">
        <f>Inputs!$D$177*(1+Inputs!$D$178)^(AZ$6-2026)/12</f>
        <v/>
      </c>
      <c r="BA34" s="48">
        <f>Inputs!$D$177*(1+Inputs!$D$178)^(BA$6-2026)/12</f>
        <v/>
      </c>
      <c r="BB34" s="48">
        <f>Inputs!$D$177*(1+Inputs!$D$178)^(BB$6-2026)/12</f>
        <v/>
      </c>
      <c r="BC34" s="48">
        <f>Inputs!$D$177*(1+Inputs!$D$178)^(BC$6-2026)/12</f>
        <v/>
      </c>
      <c r="BD34" s="48">
        <f>Inputs!$D$177*(1+Inputs!$D$178)^(BD$6-2026)/12</f>
        <v/>
      </c>
      <c r="BE34" s="48">
        <f>Inputs!$D$177*(1+Inputs!$D$178)^(BE$6-2026)/12</f>
        <v/>
      </c>
      <c r="BF34" s="48">
        <f>Inputs!$D$177*(1+Inputs!$D$178)^(BF$6-2026)/12</f>
        <v/>
      </c>
      <c r="BG34" s="48">
        <f>Inputs!$D$177*(1+Inputs!$D$178)^(BG$6-2026)/12</f>
        <v/>
      </c>
      <c r="BH34" s="48">
        <f>Inputs!$D$177*(1+Inputs!$D$178)^(BH$6-2026)/12</f>
        <v/>
      </c>
      <c r="BI34" s="48">
        <f>Inputs!$D$177*(1+Inputs!$D$178)^(BI$6-2026)/12</f>
        <v/>
      </c>
      <c r="BJ34" s="48">
        <f>Inputs!$D$177*(1+Inputs!$D$178)^(BJ$6-2026)/12</f>
        <v/>
      </c>
      <c r="BK34" s="48">
        <f>Inputs!$D$177*(1+Inputs!$D$178)^(BK$6-2026)/12</f>
        <v/>
      </c>
    </row>
    <row r="35">
      <c r="B35" s="18" t="inlineStr">
        <is>
          <t xml:space="preserve">    Insurance</t>
        </is>
      </c>
      <c r="C35" s="19" t="inlineStr">
        <is>
          <t>$</t>
        </is>
      </c>
      <c r="D35" s="48">
        <f>Inputs!$D$179*(1+Inputs!$D$180)^(D$6-2026)/12</f>
        <v/>
      </c>
      <c r="E35" s="48">
        <f>Inputs!$D$179*(1+Inputs!$D$180)^(E$6-2026)/12</f>
        <v/>
      </c>
      <c r="F35" s="48">
        <f>Inputs!$D$179*(1+Inputs!$D$180)^(F$6-2026)/12</f>
        <v/>
      </c>
      <c r="G35" s="48">
        <f>Inputs!$D$179*(1+Inputs!$D$180)^(G$6-2026)/12</f>
        <v/>
      </c>
      <c r="H35" s="48">
        <f>Inputs!$D$179*(1+Inputs!$D$180)^(H$6-2026)/12</f>
        <v/>
      </c>
      <c r="I35" s="48">
        <f>Inputs!$D$179*(1+Inputs!$D$180)^(I$6-2026)/12</f>
        <v/>
      </c>
      <c r="J35" s="48">
        <f>Inputs!$D$179*(1+Inputs!$D$180)^(J$6-2026)/12</f>
        <v/>
      </c>
      <c r="K35" s="48">
        <f>Inputs!$D$179*(1+Inputs!$D$180)^(K$6-2026)/12</f>
        <v/>
      </c>
      <c r="L35" s="48">
        <f>Inputs!$D$179*(1+Inputs!$D$180)^(L$6-2026)/12</f>
        <v/>
      </c>
      <c r="M35" s="48">
        <f>Inputs!$D$179*(1+Inputs!$D$180)^(M$6-2026)/12</f>
        <v/>
      </c>
      <c r="N35" s="48">
        <f>Inputs!$D$179*(1+Inputs!$D$180)^(N$6-2026)/12</f>
        <v/>
      </c>
      <c r="O35" s="48">
        <f>Inputs!$D$179*(1+Inputs!$D$180)^(O$6-2026)/12</f>
        <v/>
      </c>
      <c r="P35" s="48">
        <f>Inputs!$D$179*(1+Inputs!$D$180)^(P$6-2026)/12</f>
        <v/>
      </c>
      <c r="Q35" s="48">
        <f>Inputs!$D$179*(1+Inputs!$D$180)^(Q$6-2026)/12</f>
        <v/>
      </c>
      <c r="R35" s="48">
        <f>Inputs!$D$179*(1+Inputs!$D$180)^(R$6-2026)/12</f>
        <v/>
      </c>
      <c r="S35" s="48">
        <f>Inputs!$D$179*(1+Inputs!$D$180)^(S$6-2026)/12</f>
        <v/>
      </c>
      <c r="T35" s="48">
        <f>Inputs!$D$179*(1+Inputs!$D$180)^(T$6-2026)/12</f>
        <v/>
      </c>
      <c r="U35" s="48">
        <f>Inputs!$D$179*(1+Inputs!$D$180)^(U$6-2026)/12</f>
        <v/>
      </c>
      <c r="V35" s="48">
        <f>Inputs!$D$179*(1+Inputs!$D$180)^(V$6-2026)/12</f>
        <v/>
      </c>
      <c r="W35" s="48">
        <f>Inputs!$D$179*(1+Inputs!$D$180)^(W$6-2026)/12</f>
        <v/>
      </c>
      <c r="X35" s="48">
        <f>Inputs!$D$179*(1+Inputs!$D$180)^(X$6-2026)/12</f>
        <v/>
      </c>
      <c r="Y35" s="48">
        <f>Inputs!$D$179*(1+Inputs!$D$180)^(Y$6-2026)/12</f>
        <v/>
      </c>
      <c r="Z35" s="48">
        <f>Inputs!$D$179*(1+Inputs!$D$180)^(Z$6-2026)/12</f>
        <v/>
      </c>
      <c r="AA35" s="48">
        <f>Inputs!$D$179*(1+Inputs!$D$180)^(AA$6-2026)/12</f>
        <v/>
      </c>
      <c r="AB35" s="48">
        <f>Inputs!$D$179*(1+Inputs!$D$180)^(AB$6-2026)/12</f>
        <v/>
      </c>
      <c r="AC35" s="48">
        <f>Inputs!$D$179*(1+Inputs!$D$180)^(AC$6-2026)/12</f>
        <v/>
      </c>
      <c r="AD35" s="48">
        <f>Inputs!$D$179*(1+Inputs!$D$180)^(AD$6-2026)/12</f>
        <v/>
      </c>
      <c r="AE35" s="48">
        <f>Inputs!$D$179*(1+Inputs!$D$180)^(AE$6-2026)/12</f>
        <v/>
      </c>
      <c r="AF35" s="48">
        <f>Inputs!$D$179*(1+Inputs!$D$180)^(AF$6-2026)/12</f>
        <v/>
      </c>
      <c r="AG35" s="48">
        <f>Inputs!$D$179*(1+Inputs!$D$180)^(AG$6-2026)/12</f>
        <v/>
      </c>
      <c r="AH35" s="48">
        <f>Inputs!$D$179*(1+Inputs!$D$180)^(AH$6-2026)/12</f>
        <v/>
      </c>
      <c r="AI35" s="48">
        <f>Inputs!$D$179*(1+Inputs!$D$180)^(AI$6-2026)/12</f>
        <v/>
      </c>
      <c r="AJ35" s="48">
        <f>Inputs!$D$179*(1+Inputs!$D$180)^(AJ$6-2026)/12</f>
        <v/>
      </c>
      <c r="AK35" s="48">
        <f>Inputs!$D$179*(1+Inputs!$D$180)^(AK$6-2026)/12</f>
        <v/>
      </c>
      <c r="AL35" s="48">
        <f>Inputs!$D$179*(1+Inputs!$D$180)^(AL$6-2026)/12</f>
        <v/>
      </c>
      <c r="AM35" s="48">
        <f>Inputs!$D$179*(1+Inputs!$D$180)^(AM$6-2026)/12</f>
        <v/>
      </c>
      <c r="AN35" s="48">
        <f>Inputs!$D$179*(1+Inputs!$D$180)^(AN$6-2026)/12</f>
        <v/>
      </c>
      <c r="AO35" s="48">
        <f>Inputs!$D$179*(1+Inputs!$D$180)^(AO$6-2026)/12</f>
        <v/>
      </c>
      <c r="AP35" s="48">
        <f>Inputs!$D$179*(1+Inputs!$D$180)^(AP$6-2026)/12</f>
        <v/>
      </c>
      <c r="AQ35" s="48">
        <f>Inputs!$D$179*(1+Inputs!$D$180)^(AQ$6-2026)/12</f>
        <v/>
      </c>
      <c r="AR35" s="48">
        <f>Inputs!$D$179*(1+Inputs!$D$180)^(AR$6-2026)/12</f>
        <v/>
      </c>
      <c r="AS35" s="48">
        <f>Inputs!$D$179*(1+Inputs!$D$180)^(AS$6-2026)/12</f>
        <v/>
      </c>
      <c r="AT35" s="48">
        <f>Inputs!$D$179*(1+Inputs!$D$180)^(AT$6-2026)/12</f>
        <v/>
      </c>
      <c r="AU35" s="48">
        <f>Inputs!$D$179*(1+Inputs!$D$180)^(AU$6-2026)/12</f>
        <v/>
      </c>
      <c r="AV35" s="48">
        <f>Inputs!$D$179*(1+Inputs!$D$180)^(AV$6-2026)/12</f>
        <v/>
      </c>
      <c r="AW35" s="48">
        <f>Inputs!$D$179*(1+Inputs!$D$180)^(AW$6-2026)/12</f>
        <v/>
      </c>
      <c r="AX35" s="48">
        <f>Inputs!$D$179*(1+Inputs!$D$180)^(AX$6-2026)/12</f>
        <v/>
      </c>
      <c r="AY35" s="48">
        <f>Inputs!$D$179*(1+Inputs!$D$180)^(AY$6-2026)/12</f>
        <v/>
      </c>
      <c r="AZ35" s="48">
        <f>Inputs!$D$179*(1+Inputs!$D$180)^(AZ$6-2026)/12</f>
        <v/>
      </c>
      <c r="BA35" s="48">
        <f>Inputs!$D$179*(1+Inputs!$D$180)^(BA$6-2026)/12</f>
        <v/>
      </c>
      <c r="BB35" s="48">
        <f>Inputs!$D$179*(1+Inputs!$D$180)^(BB$6-2026)/12</f>
        <v/>
      </c>
      <c r="BC35" s="48">
        <f>Inputs!$D$179*(1+Inputs!$D$180)^(BC$6-2026)/12</f>
        <v/>
      </c>
      <c r="BD35" s="48">
        <f>Inputs!$D$179*(1+Inputs!$D$180)^(BD$6-2026)/12</f>
        <v/>
      </c>
      <c r="BE35" s="48">
        <f>Inputs!$D$179*(1+Inputs!$D$180)^(BE$6-2026)/12</f>
        <v/>
      </c>
      <c r="BF35" s="48">
        <f>Inputs!$D$179*(1+Inputs!$D$180)^(BF$6-2026)/12</f>
        <v/>
      </c>
      <c r="BG35" s="48">
        <f>Inputs!$D$179*(1+Inputs!$D$180)^(BG$6-2026)/12</f>
        <v/>
      </c>
      <c r="BH35" s="48">
        <f>Inputs!$D$179*(1+Inputs!$D$180)^(BH$6-2026)/12</f>
        <v/>
      </c>
      <c r="BI35" s="48">
        <f>Inputs!$D$179*(1+Inputs!$D$180)^(BI$6-2026)/12</f>
        <v/>
      </c>
      <c r="BJ35" s="48">
        <f>Inputs!$D$179*(1+Inputs!$D$180)^(BJ$6-2026)/12</f>
        <v/>
      </c>
      <c r="BK35" s="48">
        <f>Inputs!$D$179*(1+Inputs!$D$180)^(BK$6-2026)/12</f>
        <v/>
      </c>
    </row>
    <row r="36">
      <c r="B36" s="18" t="inlineStr">
        <is>
          <t xml:space="preserve">    Customer success payroll</t>
        </is>
      </c>
      <c r="C36" s="19" t="inlineStr">
        <is>
          <t>$</t>
        </is>
      </c>
      <c r="D36" s="51">
        <f>Headcount!D26</f>
        <v/>
      </c>
      <c r="E36" s="51">
        <f>Headcount!E26</f>
        <v/>
      </c>
      <c r="F36" s="51">
        <f>Headcount!F26</f>
        <v/>
      </c>
      <c r="G36" s="51">
        <f>Headcount!G26</f>
        <v/>
      </c>
      <c r="H36" s="51">
        <f>Headcount!H26</f>
        <v/>
      </c>
      <c r="I36" s="51">
        <f>Headcount!I26</f>
        <v/>
      </c>
      <c r="J36" s="51">
        <f>Headcount!J26</f>
        <v/>
      </c>
      <c r="K36" s="51">
        <f>Headcount!K26</f>
        <v/>
      </c>
      <c r="L36" s="51">
        <f>Headcount!L26</f>
        <v/>
      </c>
      <c r="M36" s="51">
        <f>Headcount!M26</f>
        <v/>
      </c>
      <c r="N36" s="51">
        <f>Headcount!N26</f>
        <v/>
      </c>
      <c r="O36" s="51">
        <f>Headcount!O26</f>
        <v/>
      </c>
      <c r="P36" s="51">
        <f>Headcount!P26</f>
        <v/>
      </c>
      <c r="Q36" s="51">
        <f>Headcount!Q26</f>
        <v/>
      </c>
      <c r="R36" s="51">
        <f>Headcount!R26</f>
        <v/>
      </c>
      <c r="S36" s="51">
        <f>Headcount!S26</f>
        <v/>
      </c>
      <c r="T36" s="51">
        <f>Headcount!T26</f>
        <v/>
      </c>
      <c r="U36" s="51">
        <f>Headcount!U26</f>
        <v/>
      </c>
      <c r="V36" s="51">
        <f>Headcount!V26</f>
        <v/>
      </c>
      <c r="W36" s="51">
        <f>Headcount!W26</f>
        <v/>
      </c>
      <c r="X36" s="51">
        <f>Headcount!X26</f>
        <v/>
      </c>
      <c r="Y36" s="51">
        <f>Headcount!Y26</f>
        <v/>
      </c>
      <c r="Z36" s="51">
        <f>Headcount!Z26</f>
        <v/>
      </c>
      <c r="AA36" s="51">
        <f>Headcount!AA26</f>
        <v/>
      </c>
      <c r="AB36" s="51">
        <f>Headcount!AB26</f>
        <v/>
      </c>
      <c r="AC36" s="51">
        <f>Headcount!AC26</f>
        <v/>
      </c>
      <c r="AD36" s="51">
        <f>Headcount!AD26</f>
        <v/>
      </c>
      <c r="AE36" s="51">
        <f>Headcount!AE26</f>
        <v/>
      </c>
      <c r="AF36" s="51">
        <f>Headcount!AF26</f>
        <v/>
      </c>
      <c r="AG36" s="51">
        <f>Headcount!AG26</f>
        <v/>
      </c>
      <c r="AH36" s="51">
        <f>Headcount!AH26</f>
        <v/>
      </c>
      <c r="AI36" s="51">
        <f>Headcount!AI26</f>
        <v/>
      </c>
      <c r="AJ36" s="51">
        <f>Headcount!AJ26</f>
        <v/>
      </c>
      <c r="AK36" s="51">
        <f>Headcount!AK26</f>
        <v/>
      </c>
      <c r="AL36" s="51">
        <f>Headcount!AL26</f>
        <v/>
      </c>
      <c r="AM36" s="51">
        <f>Headcount!AM26</f>
        <v/>
      </c>
      <c r="AN36" s="51">
        <f>Headcount!AN26</f>
        <v/>
      </c>
      <c r="AO36" s="51">
        <f>Headcount!AO26</f>
        <v/>
      </c>
      <c r="AP36" s="51">
        <f>Headcount!AP26</f>
        <v/>
      </c>
      <c r="AQ36" s="51">
        <f>Headcount!AQ26</f>
        <v/>
      </c>
      <c r="AR36" s="51">
        <f>Headcount!AR26</f>
        <v/>
      </c>
      <c r="AS36" s="51">
        <f>Headcount!AS26</f>
        <v/>
      </c>
      <c r="AT36" s="51">
        <f>Headcount!AT26</f>
        <v/>
      </c>
      <c r="AU36" s="51">
        <f>Headcount!AU26</f>
        <v/>
      </c>
      <c r="AV36" s="51">
        <f>Headcount!AV26</f>
        <v/>
      </c>
      <c r="AW36" s="51">
        <f>Headcount!AW26</f>
        <v/>
      </c>
      <c r="AX36" s="51">
        <f>Headcount!AX26</f>
        <v/>
      </c>
      <c r="AY36" s="51">
        <f>Headcount!AY26</f>
        <v/>
      </c>
      <c r="AZ36" s="51">
        <f>Headcount!AZ26</f>
        <v/>
      </c>
      <c r="BA36" s="51">
        <f>Headcount!BA26</f>
        <v/>
      </c>
      <c r="BB36" s="51">
        <f>Headcount!BB26</f>
        <v/>
      </c>
      <c r="BC36" s="51">
        <f>Headcount!BC26</f>
        <v/>
      </c>
      <c r="BD36" s="51">
        <f>Headcount!BD26</f>
        <v/>
      </c>
      <c r="BE36" s="51">
        <f>Headcount!BE26</f>
        <v/>
      </c>
      <c r="BF36" s="51">
        <f>Headcount!BF26</f>
        <v/>
      </c>
      <c r="BG36" s="51">
        <f>Headcount!BG26</f>
        <v/>
      </c>
      <c r="BH36" s="51">
        <f>Headcount!BH26</f>
        <v/>
      </c>
      <c r="BI36" s="51">
        <f>Headcount!BI26</f>
        <v/>
      </c>
      <c r="BJ36" s="51">
        <f>Headcount!BJ26</f>
        <v/>
      </c>
      <c r="BK36" s="51">
        <f>Headcount!BK26</f>
        <v/>
      </c>
    </row>
    <row r="37">
      <c r="B37" s="29" t="inlineStr">
        <is>
          <t xml:space="preserve">    Sales, marketing and customer success</t>
        </is>
      </c>
      <c r="C37" s="19" t="inlineStr">
        <is>
          <t>$</t>
        </is>
      </c>
      <c r="D37" s="46">
        <f>Headcount!D28+D36+D33+D29*0.5</f>
        <v/>
      </c>
      <c r="E37" s="46">
        <f>Headcount!E28+E36+E33+E29*0.5</f>
        <v/>
      </c>
      <c r="F37" s="46">
        <f>Headcount!F28+F36+F33+F29*0.5</f>
        <v/>
      </c>
      <c r="G37" s="46">
        <f>Headcount!G28+G36+G33+G29*0.5</f>
        <v/>
      </c>
      <c r="H37" s="46">
        <f>Headcount!H28+H36+H33+H29*0.5</f>
        <v/>
      </c>
      <c r="I37" s="46">
        <f>Headcount!I28+I36+I33+I29*0.5</f>
        <v/>
      </c>
      <c r="J37" s="46">
        <f>Headcount!J28+J36+J33+J29*0.5</f>
        <v/>
      </c>
      <c r="K37" s="46">
        <f>Headcount!K28+K36+K33+K29*0.5</f>
        <v/>
      </c>
      <c r="L37" s="46">
        <f>Headcount!L28+L36+L33+L29*0.5</f>
        <v/>
      </c>
      <c r="M37" s="46">
        <f>Headcount!M28+M36+M33+M29*0.5</f>
        <v/>
      </c>
      <c r="N37" s="46">
        <f>Headcount!N28+N36+N33+N29*0.5</f>
        <v/>
      </c>
      <c r="O37" s="46">
        <f>Headcount!O28+O36+O33+O29*0.5</f>
        <v/>
      </c>
      <c r="P37" s="46">
        <f>Headcount!P28+P36+P33+P29*0.5</f>
        <v/>
      </c>
      <c r="Q37" s="46">
        <f>Headcount!Q28+Q36+Q33+Q29*0.5</f>
        <v/>
      </c>
      <c r="R37" s="46">
        <f>Headcount!R28+R36+R33+R29*0.5</f>
        <v/>
      </c>
      <c r="S37" s="46">
        <f>Headcount!S28+S36+S33+S29*0.5</f>
        <v/>
      </c>
      <c r="T37" s="46">
        <f>Headcount!T28+T36+T33+T29*0.5</f>
        <v/>
      </c>
      <c r="U37" s="46">
        <f>Headcount!U28+U36+U33+U29*0.5</f>
        <v/>
      </c>
      <c r="V37" s="46">
        <f>Headcount!V28+V36+V33+V29*0.5</f>
        <v/>
      </c>
      <c r="W37" s="46">
        <f>Headcount!W28+W36+W33+W29*0.5</f>
        <v/>
      </c>
      <c r="X37" s="46">
        <f>Headcount!X28+X36+X33+X29*0.5</f>
        <v/>
      </c>
      <c r="Y37" s="46">
        <f>Headcount!Y28+Y36+Y33+Y29*0.5</f>
        <v/>
      </c>
      <c r="Z37" s="46">
        <f>Headcount!Z28+Z36+Z33+Z29*0.5</f>
        <v/>
      </c>
      <c r="AA37" s="46">
        <f>Headcount!AA28+AA36+AA33+AA29*0.5</f>
        <v/>
      </c>
      <c r="AB37" s="46">
        <f>Headcount!AB28+AB36+AB33+AB29*0.5</f>
        <v/>
      </c>
      <c r="AC37" s="46">
        <f>Headcount!AC28+AC36+AC33+AC29*0.5</f>
        <v/>
      </c>
      <c r="AD37" s="46">
        <f>Headcount!AD28+AD36+AD33+AD29*0.5</f>
        <v/>
      </c>
      <c r="AE37" s="46">
        <f>Headcount!AE28+AE36+AE33+AE29*0.5</f>
        <v/>
      </c>
      <c r="AF37" s="46">
        <f>Headcount!AF28+AF36+AF33+AF29*0.5</f>
        <v/>
      </c>
      <c r="AG37" s="46">
        <f>Headcount!AG28+AG36+AG33+AG29*0.5</f>
        <v/>
      </c>
      <c r="AH37" s="46">
        <f>Headcount!AH28+AH36+AH33+AH29*0.5</f>
        <v/>
      </c>
      <c r="AI37" s="46">
        <f>Headcount!AI28+AI36+AI33+AI29*0.5</f>
        <v/>
      </c>
      <c r="AJ37" s="46">
        <f>Headcount!AJ28+AJ36+AJ33+AJ29*0.5</f>
        <v/>
      </c>
      <c r="AK37" s="46">
        <f>Headcount!AK28+AK36+AK33+AK29*0.5</f>
        <v/>
      </c>
      <c r="AL37" s="46">
        <f>Headcount!AL28+AL36+AL33+AL29*0.5</f>
        <v/>
      </c>
      <c r="AM37" s="46">
        <f>Headcount!AM28+AM36+AM33+AM29*0.5</f>
        <v/>
      </c>
      <c r="AN37" s="46">
        <f>Headcount!AN28+AN36+AN33+AN29*0.5</f>
        <v/>
      </c>
      <c r="AO37" s="46">
        <f>Headcount!AO28+AO36+AO33+AO29*0.5</f>
        <v/>
      </c>
      <c r="AP37" s="46">
        <f>Headcount!AP28+AP36+AP33+AP29*0.5</f>
        <v/>
      </c>
      <c r="AQ37" s="46">
        <f>Headcount!AQ28+AQ36+AQ33+AQ29*0.5</f>
        <v/>
      </c>
      <c r="AR37" s="46">
        <f>Headcount!AR28+AR36+AR33+AR29*0.5</f>
        <v/>
      </c>
      <c r="AS37" s="46">
        <f>Headcount!AS28+AS36+AS33+AS29*0.5</f>
        <v/>
      </c>
      <c r="AT37" s="46">
        <f>Headcount!AT28+AT36+AT33+AT29*0.5</f>
        <v/>
      </c>
      <c r="AU37" s="46">
        <f>Headcount!AU28+AU36+AU33+AU29*0.5</f>
        <v/>
      </c>
      <c r="AV37" s="46">
        <f>Headcount!AV28+AV36+AV33+AV29*0.5</f>
        <v/>
      </c>
      <c r="AW37" s="46">
        <f>Headcount!AW28+AW36+AW33+AW29*0.5</f>
        <v/>
      </c>
      <c r="AX37" s="46">
        <f>Headcount!AX28+AX36+AX33+AX29*0.5</f>
        <v/>
      </c>
      <c r="AY37" s="46">
        <f>Headcount!AY28+AY36+AY33+AY29*0.5</f>
        <v/>
      </c>
      <c r="AZ37" s="46">
        <f>Headcount!AZ28+AZ36+AZ33+AZ29*0.5</f>
        <v/>
      </c>
      <c r="BA37" s="46">
        <f>Headcount!BA28+BA36+BA33+BA29*0.5</f>
        <v/>
      </c>
      <c r="BB37" s="46">
        <f>Headcount!BB28+BB36+BB33+BB29*0.5</f>
        <v/>
      </c>
      <c r="BC37" s="46">
        <f>Headcount!BC28+BC36+BC33+BC29*0.5</f>
        <v/>
      </c>
      <c r="BD37" s="46">
        <f>Headcount!BD28+BD36+BD33+BD29*0.5</f>
        <v/>
      </c>
      <c r="BE37" s="46">
        <f>Headcount!BE28+BE36+BE33+BE29*0.5</f>
        <v/>
      </c>
      <c r="BF37" s="46">
        <f>Headcount!BF28+BF36+BF33+BF29*0.5</f>
        <v/>
      </c>
      <c r="BG37" s="46">
        <f>Headcount!BG28+BG36+BG33+BG29*0.5</f>
        <v/>
      </c>
      <c r="BH37" s="46">
        <f>Headcount!BH28+BH36+BH33+BH29*0.5</f>
        <v/>
      </c>
      <c r="BI37" s="46">
        <f>Headcount!BI28+BI36+BI33+BI29*0.5</f>
        <v/>
      </c>
      <c r="BJ37" s="46">
        <f>Headcount!BJ28+BJ36+BJ33+BJ29*0.5</f>
        <v/>
      </c>
      <c r="BK37" s="46">
        <f>Headcount!BK28+BK36+BK33+BK29*0.5</f>
        <v/>
      </c>
      <c r="BM37" s="90">
        <f>SUM(D37:O37)</f>
        <v/>
      </c>
      <c r="BN37" s="90">
        <f>SUM(P37:AA37)</f>
        <v/>
      </c>
      <c r="BO37" s="90">
        <f>SUM(AB37:AM37)</f>
        <v/>
      </c>
      <c r="BP37" s="90">
        <f>SUM(AN37:AY37)</f>
        <v/>
      </c>
      <c r="BQ37" s="90">
        <f>SUM(AZ37:BK37)</f>
        <v/>
      </c>
    </row>
    <row r="38">
      <c r="B38" s="29" t="inlineStr">
        <is>
          <t xml:space="preserve">    Research and development</t>
        </is>
      </c>
      <c r="C38" s="19" t="inlineStr">
        <is>
          <t>$</t>
        </is>
      </c>
      <c r="D38" s="46">
        <f>Headcount!D25+D28*0.5+D32</f>
        <v/>
      </c>
      <c r="E38" s="46">
        <f>Headcount!E25+E28*0.5+E32</f>
        <v/>
      </c>
      <c r="F38" s="46">
        <f>Headcount!F25+F28*0.5+F32</f>
        <v/>
      </c>
      <c r="G38" s="46">
        <f>Headcount!G25+G28*0.5+G32</f>
        <v/>
      </c>
      <c r="H38" s="46">
        <f>Headcount!H25+H28*0.5+H32</f>
        <v/>
      </c>
      <c r="I38" s="46">
        <f>Headcount!I25+I28*0.5+I32</f>
        <v/>
      </c>
      <c r="J38" s="46">
        <f>Headcount!J25+J28*0.5+J32</f>
        <v/>
      </c>
      <c r="K38" s="46">
        <f>Headcount!K25+K28*0.5+K32</f>
        <v/>
      </c>
      <c r="L38" s="46">
        <f>Headcount!L25+L28*0.5+L32</f>
        <v/>
      </c>
      <c r="M38" s="46">
        <f>Headcount!M25+M28*0.5+M32</f>
        <v/>
      </c>
      <c r="N38" s="46">
        <f>Headcount!N25+N28*0.5+N32</f>
        <v/>
      </c>
      <c r="O38" s="46">
        <f>Headcount!O25+O28*0.5+O32</f>
        <v/>
      </c>
      <c r="P38" s="46">
        <f>Headcount!P25+P28*0.5+P32</f>
        <v/>
      </c>
      <c r="Q38" s="46">
        <f>Headcount!Q25+Q28*0.5+Q32</f>
        <v/>
      </c>
      <c r="R38" s="46">
        <f>Headcount!R25+R28*0.5+R32</f>
        <v/>
      </c>
      <c r="S38" s="46">
        <f>Headcount!S25+S28*0.5+S32</f>
        <v/>
      </c>
      <c r="T38" s="46">
        <f>Headcount!T25+T28*0.5+T32</f>
        <v/>
      </c>
      <c r="U38" s="46">
        <f>Headcount!U25+U28*0.5+U32</f>
        <v/>
      </c>
      <c r="V38" s="46">
        <f>Headcount!V25+V28*0.5+V32</f>
        <v/>
      </c>
      <c r="W38" s="46">
        <f>Headcount!W25+W28*0.5+W32</f>
        <v/>
      </c>
      <c r="X38" s="46">
        <f>Headcount!X25+X28*0.5+X32</f>
        <v/>
      </c>
      <c r="Y38" s="46">
        <f>Headcount!Y25+Y28*0.5+Y32</f>
        <v/>
      </c>
      <c r="Z38" s="46">
        <f>Headcount!Z25+Z28*0.5+Z32</f>
        <v/>
      </c>
      <c r="AA38" s="46">
        <f>Headcount!AA25+AA28*0.5+AA32</f>
        <v/>
      </c>
      <c r="AB38" s="46">
        <f>Headcount!AB25+AB28*0.5+AB32</f>
        <v/>
      </c>
      <c r="AC38" s="46">
        <f>Headcount!AC25+AC28*0.5+AC32</f>
        <v/>
      </c>
      <c r="AD38" s="46">
        <f>Headcount!AD25+AD28*0.5+AD32</f>
        <v/>
      </c>
      <c r="AE38" s="46">
        <f>Headcount!AE25+AE28*0.5+AE32</f>
        <v/>
      </c>
      <c r="AF38" s="46">
        <f>Headcount!AF25+AF28*0.5+AF32</f>
        <v/>
      </c>
      <c r="AG38" s="46">
        <f>Headcount!AG25+AG28*0.5+AG32</f>
        <v/>
      </c>
      <c r="AH38" s="46">
        <f>Headcount!AH25+AH28*0.5+AH32</f>
        <v/>
      </c>
      <c r="AI38" s="46">
        <f>Headcount!AI25+AI28*0.5+AI32</f>
        <v/>
      </c>
      <c r="AJ38" s="46">
        <f>Headcount!AJ25+AJ28*0.5+AJ32</f>
        <v/>
      </c>
      <c r="AK38" s="46">
        <f>Headcount!AK25+AK28*0.5+AK32</f>
        <v/>
      </c>
      <c r="AL38" s="46">
        <f>Headcount!AL25+AL28*0.5+AL32</f>
        <v/>
      </c>
      <c r="AM38" s="46">
        <f>Headcount!AM25+AM28*0.5+AM32</f>
        <v/>
      </c>
      <c r="AN38" s="46">
        <f>Headcount!AN25+AN28*0.5+AN32</f>
        <v/>
      </c>
      <c r="AO38" s="46">
        <f>Headcount!AO25+AO28*0.5+AO32</f>
        <v/>
      </c>
      <c r="AP38" s="46">
        <f>Headcount!AP25+AP28*0.5+AP32</f>
        <v/>
      </c>
      <c r="AQ38" s="46">
        <f>Headcount!AQ25+AQ28*0.5+AQ32</f>
        <v/>
      </c>
      <c r="AR38" s="46">
        <f>Headcount!AR25+AR28*0.5+AR32</f>
        <v/>
      </c>
      <c r="AS38" s="46">
        <f>Headcount!AS25+AS28*0.5+AS32</f>
        <v/>
      </c>
      <c r="AT38" s="46">
        <f>Headcount!AT25+AT28*0.5+AT32</f>
        <v/>
      </c>
      <c r="AU38" s="46">
        <f>Headcount!AU25+AU28*0.5+AU32</f>
        <v/>
      </c>
      <c r="AV38" s="46">
        <f>Headcount!AV25+AV28*0.5+AV32</f>
        <v/>
      </c>
      <c r="AW38" s="46">
        <f>Headcount!AW25+AW28*0.5+AW32</f>
        <v/>
      </c>
      <c r="AX38" s="46">
        <f>Headcount!AX25+AX28*0.5+AX32</f>
        <v/>
      </c>
      <c r="AY38" s="46">
        <f>Headcount!AY25+AY28*0.5+AY32</f>
        <v/>
      </c>
      <c r="AZ38" s="46">
        <f>Headcount!AZ25+AZ28*0.5+AZ32</f>
        <v/>
      </c>
      <c r="BA38" s="46">
        <f>Headcount!BA25+BA28*0.5+BA32</f>
        <v/>
      </c>
      <c r="BB38" s="46">
        <f>Headcount!BB25+BB28*0.5+BB32</f>
        <v/>
      </c>
      <c r="BC38" s="46">
        <f>Headcount!BC25+BC28*0.5+BC32</f>
        <v/>
      </c>
      <c r="BD38" s="46">
        <f>Headcount!BD25+BD28*0.5+BD32</f>
        <v/>
      </c>
      <c r="BE38" s="46">
        <f>Headcount!BE25+BE28*0.5+BE32</f>
        <v/>
      </c>
      <c r="BF38" s="46">
        <f>Headcount!BF25+BF28*0.5+BF32</f>
        <v/>
      </c>
      <c r="BG38" s="46">
        <f>Headcount!BG25+BG28*0.5+BG32</f>
        <v/>
      </c>
      <c r="BH38" s="46">
        <f>Headcount!BH25+BH28*0.5+BH32</f>
        <v/>
      </c>
      <c r="BI38" s="46">
        <f>Headcount!BI25+BI28*0.5+BI32</f>
        <v/>
      </c>
      <c r="BJ38" s="46">
        <f>Headcount!BJ25+BJ28*0.5+BJ32</f>
        <v/>
      </c>
      <c r="BK38" s="46">
        <f>Headcount!BK25+BK28*0.5+BK32</f>
        <v/>
      </c>
      <c r="BM38" s="90">
        <f>SUM(D38:O38)</f>
        <v/>
      </c>
      <c r="BN38" s="90">
        <f>SUM(P38:AA38)</f>
        <v/>
      </c>
      <c r="BO38" s="90">
        <f>SUM(AB38:AM38)</f>
        <v/>
      </c>
      <c r="BP38" s="90">
        <f>SUM(AN38:AY38)</f>
        <v/>
      </c>
      <c r="BQ38" s="90">
        <f>SUM(AZ38:BK38)</f>
        <v/>
      </c>
    </row>
    <row r="39">
      <c r="B39" s="29" t="inlineStr">
        <is>
          <t xml:space="preserve">    General and administrative</t>
        </is>
      </c>
      <c r="C39" s="19" t="inlineStr">
        <is>
          <t>$</t>
        </is>
      </c>
      <c r="D39" s="46">
        <f>Headcount!D27+Headcount!D31+D34+D35+D30+D31+D28*0.5+D29*0.5</f>
        <v/>
      </c>
      <c r="E39" s="46">
        <f>Headcount!E27+Headcount!E31+E34+E35+E30+E31+E28*0.5+E29*0.5</f>
        <v/>
      </c>
      <c r="F39" s="46">
        <f>Headcount!F27+Headcount!F31+F34+F35+F30+F31+F28*0.5+F29*0.5</f>
        <v/>
      </c>
      <c r="G39" s="46">
        <f>Headcount!G27+Headcount!G31+G34+G35+G30+G31+G28*0.5+G29*0.5</f>
        <v/>
      </c>
      <c r="H39" s="46">
        <f>Headcount!H27+Headcount!H31+H34+H35+H30+H31+H28*0.5+H29*0.5</f>
        <v/>
      </c>
      <c r="I39" s="46">
        <f>Headcount!I27+Headcount!I31+I34+I35+I30+I31+I28*0.5+I29*0.5</f>
        <v/>
      </c>
      <c r="J39" s="46">
        <f>Headcount!J27+Headcount!J31+J34+J35+J30+J31+J28*0.5+J29*0.5</f>
        <v/>
      </c>
      <c r="K39" s="46">
        <f>Headcount!K27+Headcount!K31+K34+K35+K30+K31+K28*0.5+K29*0.5</f>
        <v/>
      </c>
      <c r="L39" s="46">
        <f>Headcount!L27+Headcount!L31+L34+L35+L30+L31+L28*0.5+L29*0.5</f>
        <v/>
      </c>
      <c r="M39" s="46">
        <f>Headcount!M27+Headcount!M31+M34+M35+M30+M31+M28*0.5+M29*0.5</f>
        <v/>
      </c>
      <c r="N39" s="46">
        <f>Headcount!N27+Headcount!N31+N34+N35+N30+N31+N28*0.5+N29*0.5</f>
        <v/>
      </c>
      <c r="O39" s="46">
        <f>Headcount!O27+Headcount!O31+O34+O35+O30+O31+O28*0.5+O29*0.5</f>
        <v/>
      </c>
      <c r="P39" s="46">
        <f>Headcount!P27+Headcount!P31+P34+P35+P30+P31+P28*0.5+P29*0.5</f>
        <v/>
      </c>
      <c r="Q39" s="46">
        <f>Headcount!Q27+Headcount!Q31+Q34+Q35+Q30+Q31+Q28*0.5+Q29*0.5</f>
        <v/>
      </c>
      <c r="R39" s="46">
        <f>Headcount!R27+Headcount!R31+R34+R35+R30+R31+R28*0.5+R29*0.5</f>
        <v/>
      </c>
      <c r="S39" s="46">
        <f>Headcount!S27+Headcount!S31+S34+S35+S30+S31+S28*0.5+S29*0.5</f>
        <v/>
      </c>
      <c r="T39" s="46">
        <f>Headcount!T27+Headcount!T31+T34+T35+T30+T31+T28*0.5+T29*0.5</f>
        <v/>
      </c>
      <c r="U39" s="46">
        <f>Headcount!U27+Headcount!U31+U34+U35+U30+U31+U28*0.5+U29*0.5</f>
        <v/>
      </c>
      <c r="V39" s="46">
        <f>Headcount!V27+Headcount!V31+V34+V35+V30+V31+V28*0.5+V29*0.5</f>
        <v/>
      </c>
      <c r="W39" s="46">
        <f>Headcount!W27+Headcount!W31+W34+W35+W30+W31+W28*0.5+W29*0.5</f>
        <v/>
      </c>
      <c r="X39" s="46">
        <f>Headcount!X27+Headcount!X31+X34+X35+X30+X31+X28*0.5+X29*0.5</f>
        <v/>
      </c>
      <c r="Y39" s="46">
        <f>Headcount!Y27+Headcount!Y31+Y34+Y35+Y30+Y31+Y28*0.5+Y29*0.5</f>
        <v/>
      </c>
      <c r="Z39" s="46">
        <f>Headcount!Z27+Headcount!Z31+Z34+Z35+Z30+Z31+Z28*0.5+Z29*0.5</f>
        <v/>
      </c>
      <c r="AA39" s="46">
        <f>Headcount!AA27+Headcount!AA31+AA34+AA35+AA30+AA31+AA28*0.5+AA29*0.5</f>
        <v/>
      </c>
      <c r="AB39" s="46">
        <f>Headcount!AB27+Headcount!AB31+AB34+AB35+AB30+AB31+AB28*0.5+AB29*0.5</f>
        <v/>
      </c>
      <c r="AC39" s="46">
        <f>Headcount!AC27+Headcount!AC31+AC34+AC35+AC30+AC31+AC28*0.5+AC29*0.5</f>
        <v/>
      </c>
      <c r="AD39" s="46">
        <f>Headcount!AD27+Headcount!AD31+AD34+AD35+AD30+AD31+AD28*0.5+AD29*0.5</f>
        <v/>
      </c>
      <c r="AE39" s="46">
        <f>Headcount!AE27+Headcount!AE31+AE34+AE35+AE30+AE31+AE28*0.5+AE29*0.5</f>
        <v/>
      </c>
      <c r="AF39" s="46">
        <f>Headcount!AF27+Headcount!AF31+AF34+AF35+AF30+AF31+AF28*0.5+AF29*0.5</f>
        <v/>
      </c>
      <c r="AG39" s="46">
        <f>Headcount!AG27+Headcount!AG31+AG34+AG35+AG30+AG31+AG28*0.5+AG29*0.5</f>
        <v/>
      </c>
      <c r="AH39" s="46">
        <f>Headcount!AH27+Headcount!AH31+AH34+AH35+AH30+AH31+AH28*0.5+AH29*0.5</f>
        <v/>
      </c>
      <c r="AI39" s="46">
        <f>Headcount!AI27+Headcount!AI31+AI34+AI35+AI30+AI31+AI28*0.5+AI29*0.5</f>
        <v/>
      </c>
      <c r="AJ39" s="46">
        <f>Headcount!AJ27+Headcount!AJ31+AJ34+AJ35+AJ30+AJ31+AJ28*0.5+AJ29*0.5</f>
        <v/>
      </c>
      <c r="AK39" s="46">
        <f>Headcount!AK27+Headcount!AK31+AK34+AK35+AK30+AK31+AK28*0.5+AK29*0.5</f>
        <v/>
      </c>
      <c r="AL39" s="46">
        <f>Headcount!AL27+Headcount!AL31+AL34+AL35+AL30+AL31+AL28*0.5+AL29*0.5</f>
        <v/>
      </c>
      <c r="AM39" s="46">
        <f>Headcount!AM27+Headcount!AM31+AM34+AM35+AM30+AM31+AM28*0.5+AM29*0.5</f>
        <v/>
      </c>
      <c r="AN39" s="46">
        <f>Headcount!AN27+Headcount!AN31+AN34+AN35+AN30+AN31+AN28*0.5+AN29*0.5</f>
        <v/>
      </c>
      <c r="AO39" s="46">
        <f>Headcount!AO27+Headcount!AO31+AO34+AO35+AO30+AO31+AO28*0.5+AO29*0.5</f>
        <v/>
      </c>
      <c r="AP39" s="46">
        <f>Headcount!AP27+Headcount!AP31+AP34+AP35+AP30+AP31+AP28*0.5+AP29*0.5</f>
        <v/>
      </c>
      <c r="AQ39" s="46">
        <f>Headcount!AQ27+Headcount!AQ31+AQ34+AQ35+AQ30+AQ31+AQ28*0.5+AQ29*0.5</f>
        <v/>
      </c>
      <c r="AR39" s="46">
        <f>Headcount!AR27+Headcount!AR31+AR34+AR35+AR30+AR31+AR28*0.5+AR29*0.5</f>
        <v/>
      </c>
      <c r="AS39" s="46">
        <f>Headcount!AS27+Headcount!AS31+AS34+AS35+AS30+AS31+AS28*0.5+AS29*0.5</f>
        <v/>
      </c>
      <c r="AT39" s="46">
        <f>Headcount!AT27+Headcount!AT31+AT34+AT35+AT30+AT31+AT28*0.5+AT29*0.5</f>
        <v/>
      </c>
      <c r="AU39" s="46">
        <f>Headcount!AU27+Headcount!AU31+AU34+AU35+AU30+AU31+AU28*0.5+AU29*0.5</f>
        <v/>
      </c>
      <c r="AV39" s="46">
        <f>Headcount!AV27+Headcount!AV31+AV34+AV35+AV30+AV31+AV28*0.5+AV29*0.5</f>
        <v/>
      </c>
      <c r="AW39" s="46">
        <f>Headcount!AW27+Headcount!AW31+AW34+AW35+AW30+AW31+AW28*0.5+AW29*0.5</f>
        <v/>
      </c>
      <c r="AX39" s="46">
        <f>Headcount!AX27+Headcount!AX31+AX34+AX35+AX30+AX31+AX28*0.5+AX29*0.5</f>
        <v/>
      </c>
      <c r="AY39" s="46">
        <f>Headcount!AY27+Headcount!AY31+AY34+AY35+AY30+AY31+AY28*0.5+AY29*0.5</f>
        <v/>
      </c>
      <c r="AZ39" s="46">
        <f>Headcount!AZ27+Headcount!AZ31+AZ34+AZ35+AZ30+AZ31+AZ28*0.5+AZ29*0.5</f>
        <v/>
      </c>
      <c r="BA39" s="46">
        <f>Headcount!BA27+Headcount!BA31+BA34+BA35+BA30+BA31+BA28*0.5+BA29*0.5</f>
        <v/>
      </c>
      <c r="BB39" s="46">
        <f>Headcount!BB27+Headcount!BB31+BB34+BB35+BB30+BB31+BB28*0.5+BB29*0.5</f>
        <v/>
      </c>
      <c r="BC39" s="46">
        <f>Headcount!BC27+Headcount!BC31+BC34+BC35+BC30+BC31+BC28*0.5+BC29*0.5</f>
        <v/>
      </c>
      <c r="BD39" s="46">
        <f>Headcount!BD27+Headcount!BD31+BD34+BD35+BD30+BD31+BD28*0.5+BD29*0.5</f>
        <v/>
      </c>
      <c r="BE39" s="46">
        <f>Headcount!BE27+Headcount!BE31+BE34+BE35+BE30+BE31+BE28*0.5+BE29*0.5</f>
        <v/>
      </c>
      <c r="BF39" s="46">
        <f>Headcount!BF27+Headcount!BF31+BF34+BF35+BF30+BF31+BF28*0.5+BF29*0.5</f>
        <v/>
      </c>
      <c r="BG39" s="46">
        <f>Headcount!BG27+Headcount!BG31+BG34+BG35+BG30+BG31+BG28*0.5+BG29*0.5</f>
        <v/>
      </c>
      <c r="BH39" s="46">
        <f>Headcount!BH27+Headcount!BH31+BH34+BH35+BH30+BH31+BH28*0.5+BH29*0.5</f>
        <v/>
      </c>
      <c r="BI39" s="46">
        <f>Headcount!BI27+Headcount!BI31+BI34+BI35+BI30+BI31+BI28*0.5+BI29*0.5</f>
        <v/>
      </c>
      <c r="BJ39" s="46">
        <f>Headcount!BJ27+Headcount!BJ31+BJ34+BJ35+BJ30+BJ31+BJ28*0.5+BJ29*0.5</f>
        <v/>
      </c>
      <c r="BK39" s="46">
        <f>Headcount!BK27+Headcount!BK31+BK34+BK35+BK30+BK31+BK28*0.5+BK29*0.5</f>
        <v/>
      </c>
      <c r="BM39" s="90">
        <f>SUM(D39:O39)</f>
        <v/>
      </c>
      <c r="BN39" s="90">
        <f>SUM(P39:AA39)</f>
        <v/>
      </c>
      <c r="BO39" s="90">
        <f>SUM(AB39:AM39)</f>
        <v/>
      </c>
      <c r="BP39" s="90">
        <f>SUM(AN39:AY39)</f>
        <v/>
      </c>
      <c r="BQ39" s="90">
        <f>SUM(AZ39:BK39)</f>
        <v/>
      </c>
    </row>
    <row r="40">
      <c r="B40" s="29" t="inlineStr">
        <is>
          <t xml:space="preserve">    Total operating expense</t>
        </is>
      </c>
      <c r="C40" s="19" t="inlineStr">
        <is>
          <t>$</t>
        </is>
      </c>
      <c r="D40" s="46">
        <f>D37+D38+D39</f>
        <v/>
      </c>
      <c r="E40" s="46">
        <f>E37+E38+E39</f>
        <v/>
      </c>
      <c r="F40" s="46">
        <f>F37+F38+F39</f>
        <v/>
      </c>
      <c r="G40" s="46">
        <f>G37+G38+G39</f>
        <v/>
      </c>
      <c r="H40" s="46">
        <f>H37+H38+H39</f>
        <v/>
      </c>
      <c r="I40" s="46">
        <f>I37+I38+I39</f>
        <v/>
      </c>
      <c r="J40" s="46">
        <f>J37+J38+J39</f>
        <v/>
      </c>
      <c r="K40" s="46">
        <f>K37+K38+K39</f>
        <v/>
      </c>
      <c r="L40" s="46">
        <f>L37+L38+L39</f>
        <v/>
      </c>
      <c r="M40" s="46">
        <f>M37+M38+M39</f>
        <v/>
      </c>
      <c r="N40" s="46">
        <f>N37+N38+N39</f>
        <v/>
      </c>
      <c r="O40" s="46">
        <f>O37+O38+O39</f>
        <v/>
      </c>
      <c r="P40" s="46">
        <f>P37+P38+P39</f>
        <v/>
      </c>
      <c r="Q40" s="46">
        <f>Q37+Q38+Q39</f>
        <v/>
      </c>
      <c r="R40" s="46">
        <f>R37+R38+R39</f>
        <v/>
      </c>
      <c r="S40" s="46">
        <f>S37+S38+S39</f>
        <v/>
      </c>
      <c r="T40" s="46">
        <f>T37+T38+T39</f>
        <v/>
      </c>
      <c r="U40" s="46">
        <f>U37+U38+U39</f>
        <v/>
      </c>
      <c r="V40" s="46">
        <f>V37+V38+V39</f>
        <v/>
      </c>
      <c r="W40" s="46">
        <f>W37+W38+W39</f>
        <v/>
      </c>
      <c r="X40" s="46">
        <f>X37+X38+X39</f>
        <v/>
      </c>
      <c r="Y40" s="46">
        <f>Y37+Y38+Y39</f>
        <v/>
      </c>
      <c r="Z40" s="46">
        <f>Z37+Z38+Z39</f>
        <v/>
      </c>
      <c r="AA40" s="46">
        <f>AA37+AA38+AA39</f>
        <v/>
      </c>
      <c r="AB40" s="46">
        <f>AB37+AB38+AB39</f>
        <v/>
      </c>
      <c r="AC40" s="46">
        <f>AC37+AC38+AC39</f>
        <v/>
      </c>
      <c r="AD40" s="46">
        <f>AD37+AD38+AD39</f>
        <v/>
      </c>
      <c r="AE40" s="46">
        <f>AE37+AE38+AE39</f>
        <v/>
      </c>
      <c r="AF40" s="46">
        <f>AF37+AF38+AF39</f>
        <v/>
      </c>
      <c r="AG40" s="46">
        <f>AG37+AG38+AG39</f>
        <v/>
      </c>
      <c r="AH40" s="46">
        <f>AH37+AH38+AH39</f>
        <v/>
      </c>
      <c r="AI40" s="46">
        <f>AI37+AI38+AI39</f>
        <v/>
      </c>
      <c r="AJ40" s="46">
        <f>AJ37+AJ38+AJ39</f>
        <v/>
      </c>
      <c r="AK40" s="46">
        <f>AK37+AK38+AK39</f>
        <v/>
      </c>
      <c r="AL40" s="46">
        <f>AL37+AL38+AL39</f>
        <v/>
      </c>
      <c r="AM40" s="46">
        <f>AM37+AM38+AM39</f>
        <v/>
      </c>
      <c r="AN40" s="46">
        <f>AN37+AN38+AN39</f>
        <v/>
      </c>
      <c r="AO40" s="46">
        <f>AO37+AO38+AO39</f>
        <v/>
      </c>
      <c r="AP40" s="46">
        <f>AP37+AP38+AP39</f>
        <v/>
      </c>
      <c r="AQ40" s="46">
        <f>AQ37+AQ38+AQ39</f>
        <v/>
      </c>
      <c r="AR40" s="46">
        <f>AR37+AR38+AR39</f>
        <v/>
      </c>
      <c r="AS40" s="46">
        <f>AS37+AS38+AS39</f>
        <v/>
      </c>
      <c r="AT40" s="46">
        <f>AT37+AT38+AT39</f>
        <v/>
      </c>
      <c r="AU40" s="46">
        <f>AU37+AU38+AU39</f>
        <v/>
      </c>
      <c r="AV40" s="46">
        <f>AV37+AV38+AV39</f>
        <v/>
      </c>
      <c r="AW40" s="46">
        <f>AW37+AW38+AW39</f>
        <v/>
      </c>
      <c r="AX40" s="46">
        <f>AX37+AX38+AX39</f>
        <v/>
      </c>
      <c r="AY40" s="46">
        <f>AY37+AY38+AY39</f>
        <v/>
      </c>
      <c r="AZ40" s="46">
        <f>AZ37+AZ38+AZ39</f>
        <v/>
      </c>
      <c r="BA40" s="46">
        <f>BA37+BA38+BA39</f>
        <v/>
      </c>
      <c r="BB40" s="46">
        <f>BB37+BB38+BB39</f>
        <v/>
      </c>
      <c r="BC40" s="46">
        <f>BC37+BC38+BC39</f>
        <v/>
      </c>
      <c r="BD40" s="46">
        <f>BD37+BD38+BD39</f>
        <v/>
      </c>
      <c r="BE40" s="46">
        <f>BE37+BE38+BE39</f>
        <v/>
      </c>
      <c r="BF40" s="46">
        <f>BF37+BF38+BF39</f>
        <v/>
      </c>
      <c r="BG40" s="46">
        <f>BG37+BG38+BG39</f>
        <v/>
      </c>
      <c r="BH40" s="46">
        <f>BH37+BH38+BH39</f>
        <v/>
      </c>
      <c r="BI40" s="46">
        <f>BI37+BI38+BI39</f>
        <v/>
      </c>
      <c r="BJ40" s="46">
        <f>BJ37+BJ38+BJ39</f>
        <v/>
      </c>
      <c r="BK40" s="46">
        <f>BK37+BK38+BK39</f>
        <v/>
      </c>
      <c r="BM40" s="90">
        <f>SUM(D40:O40)</f>
        <v/>
      </c>
      <c r="BN40" s="90">
        <f>SUM(P40:AA40)</f>
        <v/>
      </c>
      <c r="BO40" s="90">
        <f>SUM(AB40:AM40)</f>
        <v/>
      </c>
      <c r="BP40" s="90">
        <f>SUM(AN40:AY40)</f>
        <v/>
      </c>
      <c r="BQ40" s="90">
        <f>SUM(AZ40:BK40)</f>
        <v/>
      </c>
    </row>
    <row r="41"/>
    <row r="42">
      <c r="B42" s="3" t="inlineStr">
        <is>
          <t>EARNINGS</t>
        </is>
      </c>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c r="AY42" s="4" t="n"/>
      <c r="AZ42" s="4" t="n"/>
      <c r="BA42" s="4" t="n"/>
      <c r="BB42" s="4" t="n"/>
      <c r="BC42" s="4" t="n"/>
      <c r="BD42" s="4" t="n"/>
      <c r="BE42" s="4" t="n"/>
      <c r="BF42" s="4" t="n"/>
      <c r="BG42" s="4" t="n"/>
      <c r="BH42" s="4" t="n"/>
      <c r="BI42" s="4" t="n"/>
      <c r="BJ42" s="4" t="n"/>
      <c r="BK42" s="4" t="n"/>
      <c r="BL42" s="4" t="n"/>
      <c r="BM42" s="4" t="n"/>
      <c r="BN42" s="4" t="n"/>
      <c r="BO42" s="4" t="n"/>
      <c r="BP42" s="4" t="n"/>
      <c r="BQ42" s="4" t="n"/>
    </row>
    <row r="43">
      <c r="B43" s="29" t="inlineStr">
        <is>
          <t xml:space="preserve">    EBITDA, excluding stock compensation</t>
        </is>
      </c>
      <c r="C43" s="19" t="inlineStr">
        <is>
          <t>$</t>
        </is>
      </c>
      <c r="D43" s="46">
        <f>D24-D40</f>
        <v/>
      </c>
      <c r="E43" s="46">
        <f>E24-E40</f>
        <v/>
      </c>
      <c r="F43" s="46">
        <f>F24-F40</f>
        <v/>
      </c>
      <c r="G43" s="46">
        <f>G24-G40</f>
        <v/>
      </c>
      <c r="H43" s="46">
        <f>H24-H40</f>
        <v/>
      </c>
      <c r="I43" s="46">
        <f>I24-I40</f>
        <v/>
      </c>
      <c r="J43" s="46">
        <f>J24-J40</f>
        <v/>
      </c>
      <c r="K43" s="46">
        <f>K24-K40</f>
        <v/>
      </c>
      <c r="L43" s="46">
        <f>L24-L40</f>
        <v/>
      </c>
      <c r="M43" s="46">
        <f>M24-M40</f>
        <v/>
      </c>
      <c r="N43" s="46">
        <f>N24-N40</f>
        <v/>
      </c>
      <c r="O43" s="46">
        <f>O24-O40</f>
        <v/>
      </c>
      <c r="P43" s="46">
        <f>P24-P40</f>
        <v/>
      </c>
      <c r="Q43" s="46">
        <f>Q24-Q40</f>
        <v/>
      </c>
      <c r="R43" s="46">
        <f>R24-R40</f>
        <v/>
      </c>
      <c r="S43" s="46">
        <f>S24-S40</f>
        <v/>
      </c>
      <c r="T43" s="46">
        <f>T24-T40</f>
        <v/>
      </c>
      <c r="U43" s="46">
        <f>U24-U40</f>
        <v/>
      </c>
      <c r="V43" s="46">
        <f>V24-V40</f>
        <v/>
      </c>
      <c r="W43" s="46">
        <f>W24-W40</f>
        <v/>
      </c>
      <c r="X43" s="46">
        <f>X24-X40</f>
        <v/>
      </c>
      <c r="Y43" s="46">
        <f>Y24-Y40</f>
        <v/>
      </c>
      <c r="Z43" s="46">
        <f>Z24-Z40</f>
        <v/>
      </c>
      <c r="AA43" s="46">
        <f>AA24-AA40</f>
        <v/>
      </c>
      <c r="AB43" s="46">
        <f>AB24-AB40</f>
        <v/>
      </c>
      <c r="AC43" s="46">
        <f>AC24-AC40</f>
        <v/>
      </c>
      <c r="AD43" s="46">
        <f>AD24-AD40</f>
        <v/>
      </c>
      <c r="AE43" s="46">
        <f>AE24-AE40</f>
        <v/>
      </c>
      <c r="AF43" s="46">
        <f>AF24-AF40</f>
        <v/>
      </c>
      <c r="AG43" s="46">
        <f>AG24-AG40</f>
        <v/>
      </c>
      <c r="AH43" s="46">
        <f>AH24-AH40</f>
        <v/>
      </c>
      <c r="AI43" s="46">
        <f>AI24-AI40</f>
        <v/>
      </c>
      <c r="AJ43" s="46">
        <f>AJ24-AJ40</f>
        <v/>
      </c>
      <c r="AK43" s="46">
        <f>AK24-AK40</f>
        <v/>
      </c>
      <c r="AL43" s="46">
        <f>AL24-AL40</f>
        <v/>
      </c>
      <c r="AM43" s="46">
        <f>AM24-AM40</f>
        <v/>
      </c>
      <c r="AN43" s="46">
        <f>AN24-AN40</f>
        <v/>
      </c>
      <c r="AO43" s="46">
        <f>AO24-AO40</f>
        <v/>
      </c>
      <c r="AP43" s="46">
        <f>AP24-AP40</f>
        <v/>
      </c>
      <c r="AQ43" s="46">
        <f>AQ24-AQ40</f>
        <v/>
      </c>
      <c r="AR43" s="46">
        <f>AR24-AR40</f>
        <v/>
      </c>
      <c r="AS43" s="46">
        <f>AS24-AS40</f>
        <v/>
      </c>
      <c r="AT43" s="46">
        <f>AT24-AT40</f>
        <v/>
      </c>
      <c r="AU43" s="46">
        <f>AU24-AU40</f>
        <v/>
      </c>
      <c r="AV43" s="46">
        <f>AV24-AV40</f>
        <v/>
      </c>
      <c r="AW43" s="46">
        <f>AW24-AW40</f>
        <v/>
      </c>
      <c r="AX43" s="46">
        <f>AX24-AX40</f>
        <v/>
      </c>
      <c r="AY43" s="46">
        <f>AY24-AY40</f>
        <v/>
      </c>
      <c r="AZ43" s="46">
        <f>AZ24-AZ40</f>
        <v/>
      </c>
      <c r="BA43" s="46">
        <f>BA24-BA40</f>
        <v/>
      </c>
      <c r="BB43" s="46">
        <f>BB24-BB40</f>
        <v/>
      </c>
      <c r="BC43" s="46">
        <f>BC24-BC40</f>
        <v/>
      </c>
      <c r="BD43" s="46">
        <f>BD24-BD40</f>
        <v/>
      </c>
      <c r="BE43" s="46">
        <f>BE24-BE40</f>
        <v/>
      </c>
      <c r="BF43" s="46">
        <f>BF24-BF40</f>
        <v/>
      </c>
      <c r="BG43" s="46">
        <f>BG24-BG40</f>
        <v/>
      </c>
      <c r="BH43" s="46">
        <f>BH24-BH40</f>
        <v/>
      </c>
      <c r="BI43" s="46">
        <f>BI24-BI40</f>
        <v/>
      </c>
      <c r="BJ43" s="46">
        <f>BJ24-BJ40</f>
        <v/>
      </c>
      <c r="BK43" s="46">
        <f>BK24-BK40</f>
        <v/>
      </c>
      <c r="BM43" s="90">
        <f>SUM(D43:O43)</f>
        <v/>
      </c>
      <c r="BN43" s="90">
        <f>SUM(P43:AA43)</f>
        <v/>
      </c>
      <c r="BO43" s="90">
        <f>SUM(AB43:AM43)</f>
        <v/>
      </c>
      <c r="BP43" s="90">
        <f>SUM(AN43:AY43)</f>
        <v/>
      </c>
      <c r="BQ43" s="90">
        <f>SUM(AZ43:BK43)</f>
        <v/>
      </c>
    </row>
    <row r="44">
      <c r="B44" s="18" t="inlineStr">
        <is>
          <t xml:space="preserve">    Stock compensation, non cash</t>
        </is>
      </c>
      <c r="C44" s="19" t="inlineStr">
        <is>
          <t>$</t>
        </is>
      </c>
      <c r="D44" s="48">
        <f>D13*Inputs!$D$143</f>
        <v/>
      </c>
      <c r="E44" s="48">
        <f>E13*Inputs!$D$143</f>
        <v/>
      </c>
      <c r="F44" s="48">
        <f>F13*Inputs!$D$143</f>
        <v/>
      </c>
      <c r="G44" s="48">
        <f>G13*Inputs!$D$143</f>
        <v/>
      </c>
      <c r="H44" s="48">
        <f>H13*Inputs!$D$143</f>
        <v/>
      </c>
      <c r="I44" s="48">
        <f>I13*Inputs!$D$143</f>
        <v/>
      </c>
      <c r="J44" s="48">
        <f>J13*Inputs!$D$143</f>
        <v/>
      </c>
      <c r="K44" s="48">
        <f>K13*Inputs!$D$143</f>
        <v/>
      </c>
      <c r="L44" s="48">
        <f>L13*Inputs!$D$143</f>
        <v/>
      </c>
      <c r="M44" s="48">
        <f>M13*Inputs!$D$143</f>
        <v/>
      </c>
      <c r="N44" s="48">
        <f>N13*Inputs!$D$143</f>
        <v/>
      </c>
      <c r="O44" s="48">
        <f>O13*Inputs!$D$143</f>
        <v/>
      </c>
      <c r="P44" s="48">
        <f>P13*Inputs!$D$143</f>
        <v/>
      </c>
      <c r="Q44" s="48">
        <f>Q13*Inputs!$D$143</f>
        <v/>
      </c>
      <c r="R44" s="48">
        <f>R13*Inputs!$D$143</f>
        <v/>
      </c>
      <c r="S44" s="48">
        <f>S13*Inputs!$D$143</f>
        <v/>
      </c>
      <c r="T44" s="48">
        <f>T13*Inputs!$D$143</f>
        <v/>
      </c>
      <c r="U44" s="48">
        <f>U13*Inputs!$D$143</f>
        <v/>
      </c>
      <c r="V44" s="48">
        <f>V13*Inputs!$D$143</f>
        <v/>
      </c>
      <c r="W44" s="48">
        <f>W13*Inputs!$D$143</f>
        <v/>
      </c>
      <c r="X44" s="48">
        <f>X13*Inputs!$D$143</f>
        <v/>
      </c>
      <c r="Y44" s="48">
        <f>Y13*Inputs!$D$143</f>
        <v/>
      </c>
      <c r="Z44" s="48">
        <f>Z13*Inputs!$D$143</f>
        <v/>
      </c>
      <c r="AA44" s="48">
        <f>AA13*Inputs!$D$143</f>
        <v/>
      </c>
      <c r="AB44" s="48">
        <f>AB13*Inputs!$D$143</f>
        <v/>
      </c>
      <c r="AC44" s="48">
        <f>AC13*Inputs!$D$143</f>
        <v/>
      </c>
      <c r="AD44" s="48">
        <f>AD13*Inputs!$D$143</f>
        <v/>
      </c>
      <c r="AE44" s="48">
        <f>AE13*Inputs!$D$143</f>
        <v/>
      </c>
      <c r="AF44" s="48">
        <f>AF13*Inputs!$D$143</f>
        <v/>
      </c>
      <c r="AG44" s="48">
        <f>AG13*Inputs!$D$143</f>
        <v/>
      </c>
      <c r="AH44" s="48">
        <f>AH13*Inputs!$D$143</f>
        <v/>
      </c>
      <c r="AI44" s="48">
        <f>AI13*Inputs!$D$143</f>
        <v/>
      </c>
      <c r="AJ44" s="48">
        <f>AJ13*Inputs!$D$143</f>
        <v/>
      </c>
      <c r="AK44" s="48">
        <f>AK13*Inputs!$D$143</f>
        <v/>
      </c>
      <c r="AL44" s="48">
        <f>AL13*Inputs!$D$143</f>
        <v/>
      </c>
      <c r="AM44" s="48">
        <f>AM13*Inputs!$D$143</f>
        <v/>
      </c>
      <c r="AN44" s="48">
        <f>AN13*Inputs!$D$143</f>
        <v/>
      </c>
      <c r="AO44" s="48">
        <f>AO13*Inputs!$D$143</f>
        <v/>
      </c>
      <c r="AP44" s="48">
        <f>AP13*Inputs!$D$143</f>
        <v/>
      </c>
      <c r="AQ44" s="48">
        <f>AQ13*Inputs!$D$143</f>
        <v/>
      </c>
      <c r="AR44" s="48">
        <f>AR13*Inputs!$D$143</f>
        <v/>
      </c>
      <c r="AS44" s="48">
        <f>AS13*Inputs!$D$143</f>
        <v/>
      </c>
      <c r="AT44" s="48">
        <f>AT13*Inputs!$D$143</f>
        <v/>
      </c>
      <c r="AU44" s="48">
        <f>AU13*Inputs!$D$143</f>
        <v/>
      </c>
      <c r="AV44" s="48">
        <f>AV13*Inputs!$D$143</f>
        <v/>
      </c>
      <c r="AW44" s="48">
        <f>AW13*Inputs!$D$143</f>
        <v/>
      </c>
      <c r="AX44" s="48">
        <f>AX13*Inputs!$D$143</f>
        <v/>
      </c>
      <c r="AY44" s="48">
        <f>AY13*Inputs!$D$143</f>
        <v/>
      </c>
      <c r="AZ44" s="48">
        <f>AZ13*Inputs!$D$143</f>
        <v/>
      </c>
      <c r="BA44" s="48">
        <f>BA13*Inputs!$D$143</f>
        <v/>
      </c>
      <c r="BB44" s="48">
        <f>BB13*Inputs!$D$143</f>
        <v/>
      </c>
      <c r="BC44" s="48">
        <f>BC13*Inputs!$D$143</f>
        <v/>
      </c>
      <c r="BD44" s="48">
        <f>BD13*Inputs!$D$143</f>
        <v/>
      </c>
      <c r="BE44" s="48">
        <f>BE13*Inputs!$D$143</f>
        <v/>
      </c>
      <c r="BF44" s="48">
        <f>BF13*Inputs!$D$143</f>
        <v/>
      </c>
      <c r="BG44" s="48">
        <f>BG13*Inputs!$D$143</f>
        <v/>
      </c>
      <c r="BH44" s="48">
        <f>BH13*Inputs!$D$143</f>
        <v/>
      </c>
      <c r="BI44" s="48">
        <f>BI13*Inputs!$D$143</f>
        <v/>
      </c>
      <c r="BJ44" s="48">
        <f>BJ13*Inputs!$D$143</f>
        <v/>
      </c>
      <c r="BK44" s="48">
        <f>BK13*Inputs!$D$143</f>
        <v/>
      </c>
      <c r="BM44" s="91">
        <f>SUM(D44:O44)</f>
        <v/>
      </c>
      <c r="BN44" s="91">
        <f>SUM(P44:AA44)</f>
        <v/>
      </c>
      <c r="BO44" s="91">
        <f>SUM(AB44:AM44)</f>
        <v/>
      </c>
      <c r="BP44" s="91">
        <f>SUM(AN44:AY44)</f>
        <v/>
      </c>
      <c r="BQ44" s="91">
        <f>SUM(AZ44:BK44)</f>
        <v/>
      </c>
    </row>
    <row r="45">
      <c r="B45" s="18" t="inlineStr">
        <is>
          <t xml:space="preserve">    Operating result after stock compensation</t>
        </is>
      </c>
      <c r="C45" s="19" t="inlineStr">
        <is>
          <t>$</t>
        </is>
      </c>
      <c r="D45" s="48">
        <f>D43-D44</f>
        <v/>
      </c>
      <c r="E45" s="48">
        <f>E43-E44</f>
        <v/>
      </c>
      <c r="F45" s="48">
        <f>F43-F44</f>
        <v/>
      </c>
      <c r="G45" s="48">
        <f>G43-G44</f>
        <v/>
      </c>
      <c r="H45" s="48">
        <f>H43-H44</f>
        <v/>
      </c>
      <c r="I45" s="48">
        <f>I43-I44</f>
        <v/>
      </c>
      <c r="J45" s="48">
        <f>J43-J44</f>
        <v/>
      </c>
      <c r="K45" s="48">
        <f>K43-K44</f>
        <v/>
      </c>
      <c r="L45" s="48">
        <f>L43-L44</f>
        <v/>
      </c>
      <c r="M45" s="48">
        <f>M43-M44</f>
        <v/>
      </c>
      <c r="N45" s="48">
        <f>N43-N44</f>
        <v/>
      </c>
      <c r="O45" s="48">
        <f>O43-O44</f>
        <v/>
      </c>
      <c r="P45" s="48">
        <f>P43-P44</f>
        <v/>
      </c>
      <c r="Q45" s="48">
        <f>Q43-Q44</f>
        <v/>
      </c>
      <c r="R45" s="48">
        <f>R43-R44</f>
        <v/>
      </c>
      <c r="S45" s="48">
        <f>S43-S44</f>
        <v/>
      </c>
      <c r="T45" s="48">
        <f>T43-T44</f>
        <v/>
      </c>
      <c r="U45" s="48">
        <f>U43-U44</f>
        <v/>
      </c>
      <c r="V45" s="48">
        <f>V43-V44</f>
        <v/>
      </c>
      <c r="W45" s="48">
        <f>W43-W44</f>
        <v/>
      </c>
      <c r="X45" s="48">
        <f>X43-X44</f>
        <v/>
      </c>
      <c r="Y45" s="48">
        <f>Y43-Y44</f>
        <v/>
      </c>
      <c r="Z45" s="48">
        <f>Z43-Z44</f>
        <v/>
      </c>
      <c r="AA45" s="48">
        <f>AA43-AA44</f>
        <v/>
      </c>
      <c r="AB45" s="48">
        <f>AB43-AB44</f>
        <v/>
      </c>
      <c r="AC45" s="48">
        <f>AC43-AC44</f>
        <v/>
      </c>
      <c r="AD45" s="48">
        <f>AD43-AD44</f>
        <v/>
      </c>
      <c r="AE45" s="48">
        <f>AE43-AE44</f>
        <v/>
      </c>
      <c r="AF45" s="48">
        <f>AF43-AF44</f>
        <v/>
      </c>
      <c r="AG45" s="48">
        <f>AG43-AG44</f>
        <v/>
      </c>
      <c r="AH45" s="48">
        <f>AH43-AH44</f>
        <v/>
      </c>
      <c r="AI45" s="48">
        <f>AI43-AI44</f>
        <v/>
      </c>
      <c r="AJ45" s="48">
        <f>AJ43-AJ44</f>
        <v/>
      </c>
      <c r="AK45" s="48">
        <f>AK43-AK44</f>
        <v/>
      </c>
      <c r="AL45" s="48">
        <f>AL43-AL44</f>
        <v/>
      </c>
      <c r="AM45" s="48">
        <f>AM43-AM44</f>
        <v/>
      </c>
      <c r="AN45" s="48">
        <f>AN43-AN44</f>
        <v/>
      </c>
      <c r="AO45" s="48">
        <f>AO43-AO44</f>
        <v/>
      </c>
      <c r="AP45" s="48">
        <f>AP43-AP44</f>
        <v/>
      </c>
      <c r="AQ45" s="48">
        <f>AQ43-AQ44</f>
        <v/>
      </c>
      <c r="AR45" s="48">
        <f>AR43-AR44</f>
        <v/>
      </c>
      <c r="AS45" s="48">
        <f>AS43-AS44</f>
        <v/>
      </c>
      <c r="AT45" s="48">
        <f>AT43-AT44</f>
        <v/>
      </c>
      <c r="AU45" s="48">
        <f>AU43-AU44</f>
        <v/>
      </c>
      <c r="AV45" s="48">
        <f>AV43-AV44</f>
        <v/>
      </c>
      <c r="AW45" s="48">
        <f>AW43-AW44</f>
        <v/>
      </c>
      <c r="AX45" s="48">
        <f>AX43-AX44</f>
        <v/>
      </c>
      <c r="AY45" s="48">
        <f>AY43-AY44</f>
        <v/>
      </c>
      <c r="AZ45" s="48">
        <f>AZ43-AZ44</f>
        <v/>
      </c>
      <c r="BA45" s="48">
        <f>BA43-BA44</f>
        <v/>
      </c>
      <c r="BB45" s="48">
        <f>BB43-BB44</f>
        <v/>
      </c>
      <c r="BC45" s="48">
        <f>BC43-BC44</f>
        <v/>
      </c>
      <c r="BD45" s="48">
        <f>BD43-BD44</f>
        <v/>
      </c>
      <c r="BE45" s="48">
        <f>BE43-BE44</f>
        <v/>
      </c>
      <c r="BF45" s="48">
        <f>BF43-BF44</f>
        <v/>
      </c>
      <c r="BG45" s="48">
        <f>BG43-BG44</f>
        <v/>
      </c>
      <c r="BH45" s="48">
        <f>BH43-BH44</f>
        <v/>
      </c>
      <c r="BI45" s="48">
        <f>BI43-BI44</f>
        <v/>
      </c>
      <c r="BJ45" s="48">
        <f>BJ43-BJ44</f>
        <v/>
      </c>
      <c r="BK45" s="48">
        <f>BK43-BK44</f>
        <v/>
      </c>
      <c r="BM45" s="91">
        <f>SUM(D45:O45)</f>
        <v/>
      </c>
      <c r="BN45" s="91">
        <f>SUM(P45:AA45)</f>
        <v/>
      </c>
      <c r="BO45" s="91">
        <f>SUM(AB45:AM45)</f>
        <v/>
      </c>
      <c r="BP45" s="91">
        <f>SUM(AN45:AY45)</f>
        <v/>
      </c>
      <c r="BQ45" s="91">
        <f>SUM(AZ45:BK45)</f>
        <v/>
      </c>
    </row>
    <row r="46">
      <c r="B46" s="18" t="inlineStr">
        <is>
          <t xml:space="preserve">    EBITDA margin</t>
        </is>
      </c>
      <c r="C46" s="19" t="inlineStr">
        <is>
          <t>%</t>
        </is>
      </c>
      <c r="D46" s="58">
        <f>IF(D13=0,0,D43/D13)</f>
        <v/>
      </c>
      <c r="E46" s="58">
        <f>IF(E13=0,0,E43/E13)</f>
        <v/>
      </c>
      <c r="F46" s="58">
        <f>IF(F13=0,0,F43/F13)</f>
        <v/>
      </c>
      <c r="G46" s="58">
        <f>IF(G13=0,0,G43/G13)</f>
        <v/>
      </c>
      <c r="H46" s="58">
        <f>IF(H13=0,0,H43/H13)</f>
        <v/>
      </c>
      <c r="I46" s="58">
        <f>IF(I13=0,0,I43/I13)</f>
        <v/>
      </c>
      <c r="J46" s="58">
        <f>IF(J13=0,0,J43/J13)</f>
        <v/>
      </c>
      <c r="K46" s="58">
        <f>IF(K13=0,0,K43/K13)</f>
        <v/>
      </c>
      <c r="L46" s="58">
        <f>IF(L13=0,0,L43/L13)</f>
        <v/>
      </c>
      <c r="M46" s="58">
        <f>IF(M13=0,0,M43/M13)</f>
        <v/>
      </c>
      <c r="N46" s="58">
        <f>IF(N13=0,0,N43/N13)</f>
        <v/>
      </c>
      <c r="O46" s="58">
        <f>IF(O13=0,0,O43/O13)</f>
        <v/>
      </c>
      <c r="P46" s="58">
        <f>IF(P13=0,0,P43/P13)</f>
        <v/>
      </c>
      <c r="Q46" s="58">
        <f>IF(Q13=0,0,Q43/Q13)</f>
        <v/>
      </c>
      <c r="R46" s="58">
        <f>IF(R13=0,0,R43/R13)</f>
        <v/>
      </c>
      <c r="S46" s="58">
        <f>IF(S13=0,0,S43/S13)</f>
        <v/>
      </c>
      <c r="T46" s="58">
        <f>IF(T13=0,0,T43/T13)</f>
        <v/>
      </c>
      <c r="U46" s="58">
        <f>IF(U13=0,0,U43/U13)</f>
        <v/>
      </c>
      <c r="V46" s="58">
        <f>IF(V13=0,0,V43/V13)</f>
        <v/>
      </c>
      <c r="W46" s="58">
        <f>IF(W13=0,0,W43/W13)</f>
        <v/>
      </c>
      <c r="X46" s="58">
        <f>IF(X13=0,0,X43/X13)</f>
        <v/>
      </c>
      <c r="Y46" s="58">
        <f>IF(Y13=0,0,Y43/Y13)</f>
        <v/>
      </c>
      <c r="Z46" s="58">
        <f>IF(Z13=0,0,Z43/Z13)</f>
        <v/>
      </c>
      <c r="AA46" s="58">
        <f>IF(AA13=0,0,AA43/AA13)</f>
        <v/>
      </c>
      <c r="AB46" s="58">
        <f>IF(AB13=0,0,AB43/AB13)</f>
        <v/>
      </c>
      <c r="AC46" s="58">
        <f>IF(AC13=0,0,AC43/AC13)</f>
        <v/>
      </c>
      <c r="AD46" s="58">
        <f>IF(AD13=0,0,AD43/AD13)</f>
        <v/>
      </c>
      <c r="AE46" s="58">
        <f>IF(AE13=0,0,AE43/AE13)</f>
        <v/>
      </c>
      <c r="AF46" s="58">
        <f>IF(AF13=0,0,AF43/AF13)</f>
        <v/>
      </c>
      <c r="AG46" s="58">
        <f>IF(AG13=0,0,AG43/AG13)</f>
        <v/>
      </c>
      <c r="AH46" s="58">
        <f>IF(AH13=0,0,AH43/AH13)</f>
        <v/>
      </c>
      <c r="AI46" s="58">
        <f>IF(AI13=0,0,AI43/AI13)</f>
        <v/>
      </c>
      <c r="AJ46" s="58">
        <f>IF(AJ13=0,0,AJ43/AJ13)</f>
        <v/>
      </c>
      <c r="AK46" s="58">
        <f>IF(AK13=0,0,AK43/AK13)</f>
        <v/>
      </c>
      <c r="AL46" s="58">
        <f>IF(AL13=0,0,AL43/AL13)</f>
        <v/>
      </c>
      <c r="AM46" s="58">
        <f>IF(AM13=0,0,AM43/AM13)</f>
        <v/>
      </c>
      <c r="AN46" s="58">
        <f>IF(AN13=0,0,AN43/AN13)</f>
        <v/>
      </c>
      <c r="AO46" s="58">
        <f>IF(AO13=0,0,AO43/AO13)</f>
        <v/>
      </c>
      <c r="AP46" s="58">
        <f>IF(AP13=0,0,AP43/AP13)</f>
        <v/>
      </c>
      <c r="AQ46" s="58">
        <f>IF(AQ13=0,0,AQ43/AQ13)</f>
        <v/>
      </c>
      <c r="AR46" s="58">
        <f>IF(AR13=0,0,AR43/AR13)</f>
        <v/>
      </c>
      <c r="AS46" s="58">
        <f>IF(AS13=0,0,AS43/AS13)</f>
        <v/>
      </c>
      <c r="AT46" s="58">
        <f>IF(AT13=0,0,AT43/AT13)</f>
        <v/>
      </c>
      <c r="AU46" s="58">
        <f>IF(AU13=0,0,AU43/AU13)</f>
        <v/>
      </c>
      <c r="AV46" s="58">
        <f>IF(AV13=0,0,AV43/AV13)</f>
        <v/>
      </c>
      <c r="AW46" s="58">
        <f>IF(AW13=0,0,AW43/AW13)</f>
        <v/>
      </c>
      <c r="AX46" s="58">
        <f>IF(AX13=0,0,AX43/AX13)</f>
        <v/>
      </c>
      <c r="AY46" s="58">
        <f>IF(AY13=0,0,AY43/AY13)</f>
        <v/>
      </c>
      <c r="AZ46" s="58">
        <f>IF(AZ13=0,0,AZ43/AZ13)</f>
        <v/>
      </c>
      <c r="BA46" s="58">
        <f>IF(BA13=0,0,BA43/BA13)</f>
        <v/>
      </c>
      <c r="BB46" s="58">
        <f>IF(BB13=0,0,BB43/BB13)</f>
        <v/>
      </c>
      <c r="BC46" s="58">
        <f>IF(BC13=0,0,BC43/BC13)</f>
        <v/>
      </c>
      <c r="BD46" s="58">
        <f>IF(BD13=0,0,BD43/BD13)</f>
        <v/>
      </c>
      <c r="BE46" s="58">
        <f>IF(BE13=0,0,BE43/BE13)</f>
        <v/>
      </c>
      <c r="BF46" s="58">
        <f>IF(BF13=0,0,BF43/BF13)</f>
        <v/>
      </c>
      <c r="BG46" s="58">
        <f>IF(BG13=0,0,BG43/BG13)</f>
        <v/>
      </c>
      <c r="BH46" s="58">
        <f>IF(BH13=0,0,BH43/BH13)</f>
        <v/>
      </c>
      <c r="BI46" s="58">
        <f>IF(BI13=0,0,BI43/BI13)</f>
        <v/>
      </c>
      <c r="BJ46" s="58">
        <f>IF(BJ13=0,0,BJ43/BJ13)</f>
        <v/>
      </c>
      <c r="BK46" s="58">
        <f>IF(BK13=0,0,BK43/BK13)</f>
        <v/>
      </c>
      <c r="BM46" s="93">
        <f>IF(BM13=0,0,BM43/BM13)</f>
        <v/>
      </c>
      <c r="BN46" s="93">
        <f>IF(BN13=0,0,BN43/BN13)</f>
        <v/>
      </c>
      <c r="BO46" s="93">
        <f>IF(BO13=0,0,BO43/BO13)</f>
        <v/>
      </c>
      <c r="BP46" s="93">
        <f>IF(BP13=0,0,BP43/BP13)</f>
        <v/>
      </c>
      <c r="BQ46" s="93">
        <f>IF(BQ13=0,0,BQ43/BQ13)</f>
        <v/>
      </c>
    </row>
  </sheetData>
  <pageMargins left="0.75" right="0.75" top="1" bottom="1" header="0.5" footer="0.5"/>
  <pageSetup orientation="portrait" horizontalDpi="0" verticalDpi="0"/>
</worksheet>
</file>

<file path=xl/worksheets/sheet8.xml><?xml version="1.0" encoding="utf-8"?>
<worksheet xmlns="http://schemas.openxmlformats.org/spreadsheetml/2006/main">
  <sheetPr>
    <tabColor rgb="FF0070C0"/>
    <outlinePr summaryBelow="1" summaryRight="1"/>
    <pageSetUpPr/>
  </sheetPr>
  <dimension ref="A1:BQ35"/>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Cash Flow</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BILLINGS AND DEFERRED REVENUE</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18" t="inlineStr">
        <is>
          <t xml:space="preserve">    Deferred revenue factor</t>
        </is>
      </c>
      <c r="C10" s="19" t="inlineStr">
        <is>
          <t>x</t>
        </is>
      </c>
      <c r="D10" s="55">
        <f>Inputs!$D$183*0.5+Inputs!$D$184*1.5/12</f>
        <v/>
      </c>
      <c r="E10" s="55">
        <f>Inputs!$D$183*0.5+Inputs!$D$184*1.5/12</f>
        <v/>
      </c>
      <c r="F10" s="55">
        <f>Inputs!$D$183*0.5+Inputs!$D$184*1.5/12</f>
        <v/>
      </c>
      <c r="G10" s="55">
        <f>Inputs!$D$183*0.5+Inputs!$D$184*1.5/12</f>
        <v/>
      </c>
      <c r="H10" s="55">
        <f>Inputs!$D$183*0.5+Inputs!$D$184*1.5/12</f>
        <v/>
      </c>
      <c r="I10" s="55">
        <f>Inputs!$D$183*0.5+Inputs!$D$184*1.5/12</f>
        <v/>
      </c>
      <c r="J10" s="55">
        <f>Inputs!$D$183*0.5+Inputs!$D$184*1.5/12</f>
        <v/>
      </c>
      <c r="K10" s="55">
        <f>Inputs!$D$183*0.5+Inputs!$D$184*1.5/12</f>
        <v/>
      </c>
      <c r="L10" s="55">
        <f>Inputs!$D$183*0.5+Inputs!$D$184*1.5/12</f>
        <v/>
      </c>
      <c r="M10" s="55">
        <f>Inputs!$D$183*0.5+Inputs!$D$184*1.5/12</f>
        <v/>
      </c>
      <c r="N10" s="55">
        <f>Inputs!$D$183*0.5+Inputs!$D$184*1.5/12</f>
        <v/>
      </c>
      <c r="O10" s="55">
        <f>Inputs!$D$183*0.5+Inputs!$D$184*1.5/12</f>
        <v/>
      </c>
      <c r="P10" s="55">
        <f>Inputs!$D$183*0.5+Inputs!$D$184*1.5/12</f>
        <v/>
      </c>
      <c r="Q10" s="55">
        <f>Inputs!$D$183*0.5+Inputs!$D$184*1.5/12</f>
        <v/>
      </c>
      <c r="R10" s="55">
        <f>Inputs!$D$183*0.5+Inputs!$D$184*1.5/12</f>
        <v/>
      </c>
      <c r="S10" s="55">
        <f>Inputs!$D$183*0.5+Inputs!$D$184*1.5/12</f>
        <v/>
      </c>
      <c r="T10" s="55">
        <f>Inputs!$D$183*0.5+Inputs!$D$184*1.5/12</f>
        <v/>
      </c>
      <c r="U10" s="55">
        <f>Inputs!$D$183*0.5+Inputs!$D$184*1.5/12</f>
        <v/>
      </c>
      <c r="V10" s="55">
        <f>Inputs!$D$183*0.5+Inputs!$D$184*1.5/12</f>
        <v/>
      </c>
      <c r="W10" s="55">
        <f>Inputs!$D$183*0.5+Inputs!$D$184*1.5/12</f>
        <v/>
      </c>
      <c r="X10" s="55">
        <f>Inputs!$D$183*0.5+Inputs!$D$184*1.5/12</f>
        <v/>
      </c>
      <c r="Y10" s="55">
        <f>Inputs!$D$183*0.5+Inputs!$D$184*1.5/12</f>
        <v/>
      </c>
      <c r="Z10" s="55">
        <f>Inputs!$D$183*0.5+Inputs!$D$184*1.5/12</f>
        <v/>
      </c>
      <c r="AA10" s="55">
        <f>Inputs!$D$183*0.5+Inputs!$D$184*1.5/12</f>
        <v/>
      </c>
      <c r="AB10" s="55">
        <f>Inputs!$D$183*0.5+Inputs!$D$184*1.5/12</f>
        <v/>
      </c>
      <c r="AC10" s="55">
        <f>Inputs!$D$183*0.5+Inputs!$D$184*1.5/12</f>
        <v/>
      </c>
      <c r="AD10" s="55">
        <f>Inputs!$D$183*0.5+Inputs!$D$184*1.5/12</f>
        <v/>
      </c>
      <c r="AE10" s="55">
        <f>Inputs!$D$183*0.5+Inputs!$D$184*1.5/12</f>
        <v/>
      </c>
      <c r="AF10" s="55">
        <f>Inputs!$D$183*0.5+Inputs!$D$184*1.5/12</f>
        <v/>
      </c>
      <c r="AG10" s="55">
        <f>Inputs!$D$183*0.5+Inputs!$D$184*1.5/12</f>
        <v/>
      </c>
      <c r="AH10" s="55">
        <f>Inputs!$D$183*0.5+Inputs!$D$184*1.5/12</f>
        <v/>
      </c>
      <c r="AI10" s="55">
        <f>Inputs!$D$183*0.5+Inputs!$D$184*1.5/12</f>
        <v/>
      </c>
      <c r="AJ10" s="55">
        <f>Inputs!$D$183*0.5+Inputs!$D$184*1.5/12</f>
        <v/>
      </c>
      <c r="AK10" s="55">
        <f>Inputs!$D$183*0.5+Inputs!$D$184*1.5/12</f>
        <v/>
      </c>
      <c r="AL10" s="55">
        <f>Inputs!$D$183*0.5+Inputs!$D$184*1.5/12</f>
        <v/>
      </c>
      <c r="AM10" s="55">
        <f>Inputs!$D$183*0.5+Inputs!$D$184*1.5/12</f>
        <v/>
      </c>
      <c r="AN10" s="55">
        <f>Inputs!$D$183*0.5+Inputs!$D$184*1.5/12</f>
        <v/>
      </c>
      <c r="AO10" s="55">
        <f>Inputs!$D$183*0.5+Inputs!$D$184*1.5/12</f>
        <v/>
      </c>
      <c r="AP10" s="55">
        <f>Inputs!$D$183*0.5+Inputs!$D$184*1.5/12</f>
        <v/>
      </c>
      <c r="AQ10" s="55">
        <f>Inputs!$D$183*0.5+Inputs!$D$184*1.5/12</f>
        <v/>
      </c>
      <c r="AR10" s="55">
        <f>Inputs!$D$183*0.5+Inputs!$D$184*1.5/12</f>
        <v/>
      </c>
      <c r="AS10" s="55">
        <f>Inputs!$D$183*0.5+Inputs!$D$184*1.5/12</f>
        <v/>
      </c>
      <c r="AT10" s="55">
        <f>Inputs!$D$183*0.5+Inputs!$D$184*1.5/12</f>
        <v/>
      </c>
      <c r="AU10" s="55">
        <f>Inputs!$D$183*0.5+Inputs!$D$184*1.5/12</f>
        <v/>
      </c>
      <c r="AV10" s="55">
        <f>Inputs!$D$183*0.5+Inputs!$D$184*1.5/12</f>
        <v/>
      </c>
      <c r="AW10" s="55">
        <f>Inputs!$D$183*0.5+Inputs!$D$184*1.5/12</f>
        <v/>
      </c>
      <c r="AX10" s="55">
        <f>Inputs!$D$183*0.5+Inputs!$D$184*1.5/12</f>
        <v/>
      </c>
      <c r="AY10" s="55">
        <f>Inputs!$D$183*0.5+Inputs!$D$184*1.5/12</f>
        <v/>
      </c>
      <c r="AZ10" s="55">
        <f>Inputs!$D$183*0.5+Inputs!$D$184*1.5/12</f>
        <v/>
      </c>
      <c r="BA10" s="55">
        <f>Inputs!$D$183*0.5+Inputs!$D$184*1.5/12</f>
        <v/>
      </c>
      <c r="BB10" s="55">
        <f>Inputs!$D$183*0.5+Inputs!$D$184*1.5/12</f>
        <v/>
      </c>
      <c r="BC10" s="55">
        <f>Inputs!$D$183*0.5+Inputs!$D$184*1.5/12</f>
        <v/>
      </c>
      <c r="BD10" s="55">
        <f>Inputs!$D$183*0.5+Inputs!$D$184*1.5/12</f>
        <v/>
      </c>
      <c r="BE10" s="55">
        <f>Inputs!$D$183*0.5+Inputs!$D$184*1.5/12</f>
        <v/>
      </c>
      <c r="BF10" s="55">
        <f>Inputs!$D$183*0.5+Inputs!$D$184*1.5/12</f>
        <v/>
      </c>
      <c r="BG10" s="55">
        <f>Inputs!$D$183*0.5+Inputs!$D$184*1.5/12</f>
        <v/>
      </c>
      <c r="BH10" s="55">
        <f>Inputs!$D$183*0.5+Inputs!$D$184*1.5/12</f>
        <v/>
      </c>
      <c r="BI10" s="55">
        <f>Inputs!$D$183*0.5+Inputs!$D$184*1.5/12</f>
        <v/>
      </c>
      <c r="BJ10" s="55">
        <f>Inputs!$D$183*0.5+Inputs!$D$184*1.5/12</f>
        <v/>
      </c>
      <c r="BK10" s="55">
        <f>Inputs!$D$183*0.5+Inputs!$D$184*1.5/12</f>
        <v/>
      </c>
    </row>
    <row r="11">
      <c r="B11" s="18" t="inlineStr">
        <is>
          <t xml:space="preserve">    Deferred revenue balance</t>
        </is>
      </c>
      <c r="C11" s="19" t="inlineStr">
        <is>
          <t>$</t>
        </is>
      </c>
      <c r="D11" s="51">
        <f>'Rev-ARR Bridge'!D25*D10</f>
        <v/>
      </c>
      <c r="E11" s="51">
        <f>'Rev-ARR Bridge'!E25*E10</f>
        <v/>
      </c>
      <c r="F11" s="51">
        <f>'Rev-ARR Bridge'!F25*F10</f>
        <v/>
      </c>
      <c r="G11" s="51">
        <f>'Rev-ARR Bridge'!G25*G10</f>
        <v/>
      </c>
      <c r="H11" s="51">
        <f>'Rev-ARR Bridge'!H25*H10</f>
        <v/>
      </c>
      <c r="I11" s="51">
        <f>'Rev-ARR Bridge'!I25*I10</f>
        <v/>
      </c>
      <c r="J11" s="51">
        <f>'Rev-ARR Bridge'!J25*J10</f>
        <v/>
      </c>
      <c r="K11" s="51">
        <f>'Rev-ARR Bridge'!K25*K10</f>
        <v/>
      </c>
      <c r="L11" s="51">
        <f>'Rev-ARR Bridge'!L25*L10</f>
        <v/>
      </c>
      <c r="M11" s="51">
        <f>'Rev-ARR Bridge'!M25*M10</f>
        <v/>
      </c>
      <c r="N11" s="51">
        <f>'Rev-ARR Bridge'!N25*N10</f>
        <v/>
      </c>
      <c r="O11" s="51">
        <f>'Rev-ARR Bridge'!O25*O10</f>
        <v/>
      </c>
      <c r="P11" s="51">
        <f>'Rev-ARR Bridge'!P25*P10</f>
        <v/>
      </c>
      <c r="Q11" s="51">
        <f>'Rev-ARR Bridge'!Q25*Q10</f>
        <v/>
      </c>
      <c r="R11" s="51">
        <f>'Rev-ARR Bridge'!R25*R10</f>
        <v/>
      </c>
      <c r="S11" s="51">
        <f>'Rev-ARR Bridge'!S25*S10</f>
        <v/>
      </c>
      <c r="T11" s="51">
        <f>'Rev-ARR Bridge'!T25*T10</f>
        <v/>
      </c>
      <c r="U11" s="51">
        <f>'Rev-ARR Bridge'!U25*U10</f>
        <v/>
      </c>
      <c r="V11" s="51">
        <f>'Rev-ARR Bridge'!V25*V10</f>
        <v/>
      </c>
      <c r="W11" s="51">
        <f>'Rev-ARR Bridge'!W25*W10</f>
        <v/>
      </c>
      <c r="X11" s="51">
        <f>'Rev-ARR Bridge'!X25*X10</f>
        <v/>
      </c>
      <c r="Y11" s="51">
        <f>'Rev-ARR Bridge'!Y25*Y10</f>
        <v/>
      </c>
      <c r="Z11" s="51">
        <f>'Rev-ARR Bridge'!Z25*Z10</f>
        <v/>
      </c>
      <c r="AA11" s="51">
        <f>'Rev-ARR Bridge'!AA25*AA10</f>
        <v/>
      </c>
      <c r="AB11" s="51">
        <f>'Rev-ARR Bridge'!AB25*AB10</f>
        <v/>
      </c>
      <c r="AC11" s="51">
        <f>'Rev-ARR Bridge'!AC25*AC10</f>
        <v/>
      </c>
      <c r="AD11" s="51">
        <f>'Rev-ARR Bridge'!AD25*AD10</f>
        <v/>
      </c>
      <c r="AE11" s="51">
        <f>'Rev-ARR Bridge'!AE25*AE10</f>
        <v/>
      </c>
      <c r="AF11" s="51">
        <f>'Rev-ARR Bridge'!AF25*AF10</f>
        <v/>
      </c>
      <c r="AG11" s="51">
        <f>'Rev-ARR Bridge'!AG25*AG10</f>
        <v/>
      </c>
      <c r="AH11" s="51">
        <f>'Rev-ARR Bridge'!AH25*AH10</f>
        <v/>
      </c>
      <c r="AI11" s="51">
        <f>'Rev-ARR Bridge'!AI25*AI10</f>
        <v/>
      </c>
      <c r="AJ11" s="51">
        <f>'Rev-ARR Bridge'!AJ25*AJ10</f>
        <v/>
      </c>
      <c r="AK11" s="51">
        <f>'Rev-ARR Bridge'!AK25*AK10</f>
        <v/>
      </c>
      <c r="AL11" s="51">
        <f>'Rev-ARR Bridge'!AL25*AL10</f>
        <v/>
      </c>
      <c r="AM11" s="51">
        <f>'Rev-ARR Bridge'!AM25*AM10</f>
        <v/>
      </c>
      <c r="AN11" s="51">
        <f>'Rev-ARR Bridge'!AN25*AN10</f>
        <v/>
      </c>
      <c r="AO11" s="51">
        <f>'Rev-ARR Bridge'!AO25*AO10</f>
        <v/>
      </c>
      <c r="AP11" s="51">
        <f>'Rev-ARR Bridge'!AP25*AP10</f>
        <v/>
      </c>
      <c r="AQ11" s="51">
        <f>'Rev-ARR Bridge'!AQ25*AQ10</f>
        <v/>
      </c>
      <c r="AR11" s="51">
        <f>'Rev-ARR Bridge'!AR25*AR10</f>
        <v/>
      </c>
      <c r="AS11" s="51">
        <f>'Rev-ARR Bridge'!AS25*AS10</f>
        <v/>
      </c>
      <c r="AT11" s="51">
        <f>'Rev-ARR Bridge'!AT25*AT10</f>
        <v/>
      </c>
      <c r="AU11" s="51">
        <f>'Rev-ARR Bridge'!AU25*AU10</f>
        <v/>
      </c>
      <c r="AV11" s="51">
        <f>'Rev-ARR Bridge'!AV25*AV10</f>
        <v/>
      </c>
      <c r="AW11" s="51">
        <f>'Rev-ARR Bridge'!AW25*AW10</f>
        <v/>
      </c>
      <c r="AX11" s="51">
        <f>'Rev-ARR Bridge'!AX25*AX10</f>
        <v/>
      </c>
      <c r="AY11" s="51">
        <f>'Rev-ARR Bridge'!AY25*AY10</f>
        <v/>
      </c>
      <c r="AZ11" s="51">
        <f>'Rev-ARR Bridge'!AZ25*AZ10</f>
        <v/>
      </c>
      <c r="BA11" s="51">
        <f>'Rev-ARR Bridge'!BA25*BA10</f>
        <v/>
      </c>
      <c r="BB11" s="51">
        <f>'Rev-ARR Bridge'!BB25*BB10</f>
        <v/>
      </c>
      <c r="BC11" s="51">
        <f>'Rev-ARR Bridge'!BC25*BC10</f>
        <v/>
      </c>
      <c r="BD11" s="51">
        <f>'Rev-ARR Bridge'!BD25*BD10</f>
        <v/>
      </c>
      <c r="BE11" s="51">
        <f>'Rev-ARR Bridge'!BE25*BE10</f>
        <v/>
      </c>
      <c r="BF11" s="51">
        <f>'Rev-ARR Bridge'!BF25*BF10</f>
        <v/>
      </c>
      <c r="BG11" s="51">
        <f>'Rev-ARR Bridge'!BG25*BG10</f>
        <v/>
      </c>
      <c r="BH11" s="51">
        <f>'Rev-ARR Bridge'!BH25*BH10</f>
        <v/>
      </c>
      <c r="BI11" s="51">
        <f>'Rev-ARR Bridge'!BI25*BI10</f>
        <v/>
      </c>
      <c r="BJ11" s="51">
        <f>'Rev-ARR Bridge'!BJ25*BJ10</f>
        <v/>
      </c>
      <c r="BK11" s="51">
        <f>'Rev-ARR Bridge'!BK25*BK10</f>
        <v/>
      </c>
      <c r="BM11" s="47">
        <f>O11</f>
        <v/>
      </c>
      <c r="BN11" s="47">
        <f>AA11</f>
        <v/>
      </c>
      <c r="BO11" s="47">
        <f>AM11</f>
        <v/>
      </c>
      <c r="BP11" s="47">
        <f>AY11</f>
        <v/>
      </c>
      <c r="BQ11" s="47">
        <f>BK11</f>
        <v/>
      </c>
    </row>
    <row r="12">
      <c r="B12" s="18" t="inlineStr">
        <is>
          <t xml:space="preserve">    Change in deferred revenue</t>
        </is>
      </c>
      <c r="C12" s="19" t="inlineStr">
        <is>
          <t>$</t>
        </is>
      </c>
      <c r="D12" s="48">
        <f>D11-Inputs!$D$9*D10</f>
        <v/>
      </c>
      <c r="E12" s="48">
        <f>E11-D11</f>
        <v/>
      </c>
      <c r="F12" s="48">
        <f>F11-E11</f>
        <v/>
      </c>
      <c r="G12" s="48">
        <f>G11-F11</f>
        <v/>
      </c>
      <c r="H12" s="48">
        <f>H11-G11</f>
        <v/>
      </c>
      <c r="I12" s="48">
        <f>I11-H11</f>
        <v/>
      </c>
      <c r="J12" s="48">
        <f>J11-I11</f>
        <v/>
      </c>
      <c r="K12" s="48">
        <f>K11-J11</f>
        <v/>
      </c>
      <c r="L12" s="48">
        <f>L11-K11</f>
        <v/>
      </c>
      <c r="M12" s="48">
        <f>M11-L11</f>
        <v/>
      </c>
      <c r="N12" s="48">
        <f>N11-M11</f>
        <v/>
      </c>
      <c r="O12" s="48">
        <f>O11-N11</f>
        <v/>
      </c>
      <c r="P12" s="48">
        <f>P11-O11</f>
        <v/>
      </c>
      <c r="Q12" s="48">
        <f>Q11-P11</f>
        <v/>
      </c>
      <c r="R12" s="48">
        <f>R11-Q11</f>
        <v/>
      </c>
      <c r="S12" s="48">
        <f>S11-R11</f>
        <v/>
      </c>
      <c r="T12" s="48">
        <f>T11-S11</f>
        <v/>
      </c>
      <c r="U12" s="48">
        <f>U11-T11</f>
        <v/>
      </c>
      <c r="V12" s="48">
        <f>V11-U11</f>
        <v/>
      </c>
      <c r="W12" s="48">
        <f>W11-V11</f>
        <v/>
      </c>
      <c r="X12" s="48">
        <f>X11-W11</f>
        <v/>
      </c>
      <c r="Y12" s="48">
        <f>Y11-X11</f>
        <v/>
      </c>
      <c r="Z12" s="48">
        <f>Z11-Y11</f>
        <v/>
      </c>
      <c r="AA12" s="48">
        <f>AA11-Z11</f>
        <v/>
      </c>
      <c r="AB12" s="48">
        <f>AB11-AA11</f>
        <v/>
      </c>
      <c r="AC12" s="48">
        <f>AC11-AB11</f>
        <v/>
      </c>
      <c r="AD12" s="48">
        <f>AD11-AC11</f>
        <v/>
      </c>
      <c r="AE12" s="48">
        <f>AE11-AD11</f>
        <v/>
      </c>
      <c r="AF12" s="48">
        <f>AF11-AE11</f>
        <v/>
      </c>
      <c r="AG12" s="48">
        <f>AG11-AF11</f>
        <v/>
      </c>
      <c r="AH12" s="48">
        <f>AH11-AG11</f>
        <v/>
      </c>
      <c r="AI12" s="48">
        <f>AI11-AH11</f>
        <v/>
      </c>
      <c r="AJ12" s="48">
        <f>AJ11-AI11</f>
        <v/>
      </c>
      <c r="AK12" s="48">
        <f>AK11-AJ11</f>
        <v/>
      </c>
      <c r="AL12" s="48">
        <f>AL11-AK11</f>
        <v/>
      </c>
      <c r="AM12" s="48">
        <f>AM11-AL11</f>
        <v/>
      </c>
      <c r="AN12" s="48">
        <f>AN11-AM11</f>
        <v/>
      </c>
      <c r="AO12" s="48">
        <f>AO11-AN11</f>
        <v/>
      </c>
      <c r="AP12" s="48">
        <f>AP11-AO11</f>
        <v/>
      </c>
      <c r="AQ12" s="48">
        <f>AQ11-AP11</f>
        <v/>
      </c>
      <c r="AR12" s="48">
        <f>AR11-AQ11</f>
        <v/>
      </c>
      <c r="AS12" s="48">
        <f>AS11-AR11</f>
        <v/>
      </c>
      <c r="AT12" s="48">
        <f>AT11-AS11</f>
        <v/>
      </c>
      <c r="AU12" s="48">
        <f>AU11-AT11</f>
        <v/>
      </c>
      <c r="AV12" s="48">
        <f>AV11-AU11</f>
        <v/>
      </c>
      <c r="AW12" s="48">
        <f>AW11-AV11</f>
        <v/>
      </c>
      <c r="AX12" s="48">
        <f>AX11-AW11</f>
        <v/>
      </c>
      <c r="AY12" s="48">
        <f>AY11-AX11</f>
        <v/>
      </c>
      <c r="AZ12" s="48">
        <f>AZ11-AY11</f>
        <v/>
      </c>
      <c r="BA12" s="48">
        <f>BA11-AZ11</f>
        <v/>
      </c>
      <c r="BB12" s="48">
        <f>BB11-BA11</f>
        <v/>
      </c>
      <c r="BC12" s="48">
        <f>BC11-BB11</f>
        <v/>
      </c>
      <c r="BD12" s="48">
        <f>BD11-BC11</f>
        <v/>
      </c>
      <c r="BE12" s="48">
        <f>BE11-BD11</f>
        <v/>
      </c>
      <c r="BF12" s="48">
        <f>BF11-BE11</f>
        <v/>
      </c>
      <c r="BG12" s="48">
        <f>BG11-BF11</f>
        <v/>
      </c>
      <c r="BH12" s="48">
        <f>BH11-BG11</f>
        <v/>
      </c>
      <c r="BI12" s="48">
        <f>BI11-BH11</f>
        <v/>
      </c>
      <c r="BJ12" s="48">
        <f>BJ11-BI11</f>
        <v/>
      </c>
      <c r="BK12" s="48">
        <f>BK11-BJ11</f>
        <v/>
      </c>
      <c r="BM12" s="91">
        <f>SUM(D12:O12)</f>
        <v/>
      </c>
      <c r="BN12" s="91">
        <f>SUM(P12:AA12)</f>
        <v/>
      </c>
      <c r="BO12" s="91">
        <f>SUM(AB12:AM12)</f>
        <v/>
      </c>
      <c r="BP12" s="91">
        <f>SUM(AN12:AY12)</f>
        <v/>
      </c>
      <c r="BQ12" s="91">
        <f>SUM(AZ12:BK12)</f>
        <v/>
      </c>
    </row>
    <row r="13">
      <c r="B13" s="18" t="inlineStr">
        <is>
          <t xml:space="preserve">    Core billings</t>
        </is>
      </c>
      <c r="C13" s="19" t="inlineStr">
        <is>
          <t>$</t>
        </is>
      </c>
      <c r="D13" s="51">
        <f>'P&amp;L'!D10+D12</f>
        <v/>
      </c>
      <c r="E13" s="51">
        <f>'P&amp;L'!E10+E12</f>
        <v/>
      </c>
      <c r="F13" s="51">
        <f>'P&amp;L'!F10+F12</f>
        <v/>
      </c>
      <c r="G13" s="51">
        <f>'P&amp;L'!G10+G12</f>
        <v/>
      </c>
      <c r="H13" s="51">
        <f>'P&amp;L'!H10+H12</f>
        <v/>
      </c>
      <c r="I13" s="51">
        <f>'P&amp;L'!I10+I12</f>
        <v/>
      </c>
      <c r="J13" s="51">
        <f>'P&amp;L'!J10+J12</f>
        <v/>
      </c>
      <c r="K13" s="51">
        <f>'P&amp;L'!K10+K12</f>
        <v/>
      </c>
      <c r="L13" s="51">
        <f>'P&amp;L'!L10+L12</f>
        <v/>
      </c>
      <c r="M13" s="51">
        <f>'P&amp;L'!M10+M12</f>
        <v/>
      </c>
      <c r="N13" s="51">
        <f>'P&amp;L'!N10+N12</f>
        <v/>
      </c>
      <c r="O13" s="51">
        <f>'P&amp;L'!O10+O12</f>
        <v/>
      </c>
      <c r="P13" s="51">
        <f>'P&amp;L'!P10+P12</f>
        <v/>
      </c>
      <c r="Q13" s="51">
        <f>'P&amp;L'!Q10+Q12</f>
        <v/>
      </c>
      <c r="R13" s="51">
        <f>'P&amp;L'!R10+R12</f>
        <v/>
      </c>
      <c r="S13" s="51">
        <f>'P&amp;L'!S10+S12</f>
        <v/>
      </c>
      <c r="T13" s="51">
        <f>'P&amp;L'!T10+T12</f>
        <v/>
      </c>
      <c r="U13" s="51">
        <f>'P&amp;L'!U10+U12</f>
        <v/>
      </c>
      <c r="V13" s="51">
        <f>'P&amp;L'!V10+V12</f>
        <v/>
      </c>
      <c r="W13" s="51">
        <f>'P&amp;L'!W10+W12</f>
        <v/>
      </c>
      <c r="X13" s="51">
        <f>'P&amp;L'!X10+X12</f>
        <v/>
      </c>
      <c r="Y13" s="51">
        <f>'P&amp;L'!Y10+Y12</f>
        <v/>
      </c>
      <c r="Z13" s="51">
        <f>'P&amp;L'!Z10+Z12</f>
        <v/>
      </c>
      <c r="AA13" s="51">
        <f>'P&amp;L'!AA10+AA12</f>
        <v/>
      </c>
      <c r="AB13" s="51">
        <f>'P&amp;L'!AB10+AB12</f>
        <v/>
      </c>
      <c r="AC13" s="51">
        <f>'P&amp;L'!AC10+AC12</f>
        <v/>
      </c>
      <c r="AD13" s="51">
        <f>'P&amp;L'!AD10+AD12</f>
        <v/>
      </c>
      <c r="AE13" s="51">
        <f>'P&amp;L'!AE10+AE12</f>
        <v/>
      </c>
      <c r="AF13" s="51">
        <f>'P&amp;L'!AF10+AF12</f>
        <v/>
      </c>
      <c r="AG13" s="51">
        <f>'P&amp;L'!AG10+AG12</f>
        <v/>
      </c>
      <c r="AH13" s="51">
        <f>'P&amp;L'!AH10+AH12</f>
        <v/>
      </c>
      <c r="AI13" s="51">
        <f>'P&amp;L'!AI10+AI12</f>
        <v/>
      </c>
      <c r="AJ13" s="51">
        <f>'P&amp;L'!AJ10+AJ12</f>
        <v/>
      </c>
      <c r="AK13" s="51">
        <f>'P&amp;L'!AK10+AK12</f>
        <v/>
      </c>
      <c r="AL13" s="51">
        <f>'P&amp;L'!AL10+AL12</f>
        <v/>
      </c>
      <c r="AM13" s="51">
        <f>'P&amp;L'!AM10+AM12</f>
        <v/>
      </c>
      <c r="AN13" s="51">
        <f>'P&amp;L'!AN10+AN12</f>
        <v/>
      </c>
      <c r="AO13" s="51">
        <f>'P&amp;L'!AO10+AO12</f>
        <v/>
      </c>
      <c r="AP13" s="51">
        <f>'P&amp;L'!AP10+AP12</f>
        <v/>
      </c>
      <c r="AQ13" s="51">
        <f>'P&amp;L'!AQ10+AQ12</f>
        <v/>
      </c>
      <c r="AR13" s="51">
        <f>'P&amp;L'!AR10+AR12</f>
        <v/>
      </c>
      <c r="AS13" s="51">
        <f>'P&amp;L'!AS10+AS12</f>
        <v/>
      </c>
      <c r="AT13" s="51">
        <f>'P&amp;L'!AT10+AT12</f>
        <v/>
      </c>
      <c r="AU13" s="51">
        <f>'P&amp;L'!AU10+AU12</f>
        <v/>
      </c>
      <c r="AV13" s="51">
        <f>'P&amp;L'!AV10+AV12</f>
        <v/>
      </c>
      <c r="AW13" s="51">
        <f>'P&amp;L'!AW10+AW12</f>
        <v/>
      </c>
      <c r="AX13" s="51">
        <f>'P&amp;L'!AX10+AX12</f>
        <v/>
      </c>
      <c r="AY13" s="51">
        <f>'P&amp;L'!AY10+AY12</f>
        <v/>
      </c>
      <c r="AZ13" s="51">
        <f>'P&amp;L'!AZ10+AZ12</f>
        <v/>
      </c>
      <c r="BA13" s="51">
        <f>'P&amp;L'!BA10+BA12</f>
        <v/>
      </c>
      <c r="BB13" s="51">
        <f>'P&amp;L'!BB10+BB12</f>
        <v/>
      </c>
      <c r="BC13" s="51">
        <f>'P&amp;L'!BC10+BC12</f>
        <v/>
      </c>
      <c r="BD13" s="51">
        <f>'P&amp;L'!BD10+BD12</f>
        <v/>
      </c>
      <c r="BE13" s="51">
        <f>'P&amp;L'!BE10+BE12</f>
        <v/>
      </c>
      <c r="BF13" s="51">
        <f>'P&amp;L'!BF10+BF12</f>
        <v/>
      </c>
      <c r="BG13" s="51">
        <f>'P&amp;L'!BG10+BG12</f>
        <v/>
      </c>
      <c r="BH13" s="51">
        <f>'P&amp;L'!BH10+BH12</f>
        <v/>
      </c>
      <c r="BI13" s="51">
        <f>'P&amp;L'!BI10+BI12</f>
        <v/>
      </c>
      <c r="BJ13" s="51">
        <f>'P&amp;L'!BJ10+BJ12</f>
        <v/>
      </c>
      <c r="BK13" s="51">
        <f>'P&amp;L'!BK10+BK12</f>
        <v/>
      </c>
    </row>
    <row r="14">
      <c r="B14" s="18" t="inlineStr">
        <is>
          <t xml:space="preserve">    Agents billings, in arrears</t>
        </is>
      </c>
      <c r="C14" s="19" t="inlineStr">
        <is>
          <t>$</t>
        </is>
      </c>
      <c r="D14" s="51">
        <f>0</f>
        <v/>
      </c>
      <c r="E14" s="51">
        <f>'P&amp;L'!D12</f>
        <v/>
      </c>
      <c r="F14" s="51">
        <f>'P&amp;L'!E12</f>
        <v/>
      </c>
      <c r="G14" s="51">
        <f>'P&amp;L'!F12</f>
        <v/>
      </c>
      <c r="H14" s="51">
        <f>'P&amp;L'!G12</f>
        <v/>
      </c>
      <c r="I14" s="51">
        <f>'P&amp;L'!H12</f>
        <v/>
      </c>
      <c r="J14" s="51">
        <f>'P&amp;L'!I12</f>
        <v/>
      </c>
      <c r="K14" s="51">
        <f>'P&amp;L'!J12</f>
        <v/>
      </c>
      <c r="L14" s="51">
        <f>'P&amp;L'!K12</f>
        <v/>
      </c>
      <c r="M14" s="51">
        <f>'P&amp;L'!L12</f>
        <v/>
      </c>
      <c r="N14" s="51">
        <f>'P&amp;L'!M12</f>
        <v/>
      </c>
      <c r="O14" s="51">
        <f>'P&amp;L'!N12</f>
        <v/>
      </c>
      <c r="P14" s="51">
        <f>'P&amp;L'!O12</f>
        <v/>
      </c>
      <c r="Q14" s="51">
        <f>'P&amp;L'!P12</f>
        <v/>
      </c>
      <c r="R14" s="51">
        <f>'P&amp;L'!Q12</f>
        <v/>
      </c>
      <c r="S14" s="51">
        <f>'P&amp;L'!R12</f>
        <v/>
      </c>
      <c r="T14" s="51">
        <f>'P&amp;L'!S12</f>
        <v/>
      </c>
      <c r="U14" s="51">
        <f>'P&amp;L'!T12</f>
        <v/>
      </c>
      <c r="V14" s="51">
        <f>'P&amp;L'!U12</f>
        <v/>
      </c>
      <c r="W14" s="51">
        <f>'P&amp;L'!V12</f>
        <v/>
      </c>
      <c r="X14" s="51">
        <f>'P&amp;L'!W12</f>
        <v/>
      </c>
      <c r="Y14" s="51">
        <f>'P&amp;L'!X12</f>
        <v/>
      </c>
      <c r="Z14" s="51">
        <f>'P&amp;L'!Y12</f>
        <v/>
      </c>
      <c r="AA14" s="51">
        <f>'P&amp;L'!Z12</f>
        <v/>
      </c>
      <c r="AB14" s="51">
        <f>'P&amp;L'!AA12</f>
        <v/>
      </c>
      <c r="AC14" s="51">
        <f>'P&amp;L'!AB12</f>
        <v/>
      </c>
      <c r="AD14" s="51">
        <f>'P&amp;L'!AC12</f>
        <v/>
      </c>
      <c r="AE14" s="51">
        <f>'P&amp;L'!AD12</f>
        <v/>
      </c>
      <c r="AF14" s="51">
        <f>'P&amp;L'!AE12</f>
        <v/>
      </c>
      <c r="AG14" s="51">
        <f>'P&amp;L'!AF12</f>
        <v/>
      </c>
      <c r="AH14" s="51">
        <f>'P&amp;L'!AG12</f>
        <v/>
      </c>
      <c r="AI14" s="51">
        <f>'P&amp;L'!AH12</f>
        <v/>
      </c>
      <c r="AJ14" s="51">
        <f>'P&amp;L'!AI12</f>
        <v/>
      </c>
      <c r="AK14" s="51">
        <f>'P&amp;L'!AJ12</f>
        <v/>
      </c>
      <c r="AL14" s="51">
        <f>'P&amp;L'!AK12</f>
        <v/>
      </c>
      <c r="AM14" s="51">
        <f>'P&amp;L'!AL12</f>
        <v/>
      </c>
      <c r="AN14" s="51">
        <f>'P&amp;L'!AM12</f>
        <v/>
      </c>
      <c r="AO14" s="51">
        <f>'P&amp;L'!AN12</f>
        <v/>
      </c>
      <c r="AP14" s="51">
        <f>'P&amp;L'!AO12</f>
        <v/>
      </c>
      <c r="AQ14" s="51">
        <f>'P&amp;L'!AP12</f>
        <v/>
      </c>
      <c r="AR14" s="51">
        <f>'P&amp;L'!AQ12</f>
        <v/>
      </c>
      <c r="AS14" s="51">
        <f>'P&amp;L'!AR12</f>
        <v/>
      </c>
      <c r="AT14" s="51">
        <f>'P&amp;L'!AS12</f>
        <v/>
      </c>
      <c r="AU14" s="51">
        <f>'P&amp;L'!AT12</f>
        <v/>
      </c>
      <c r="AV14" s="51">
        <f>'P&amp;L'!AU12</f>
        <v/>
      </c>
      <c r="AW14" s="51">
        <f>'P&amp;L'!AV12</f>
        <v/>
      </c>
      <c r="AX14" s="51">
        <f>'P&amp;L'!AW12</f>
        <v/>
      </c>
      <c r="AY14" s="51">
        <f>'P&amp;L'!AX12</f>
        <v/>
      </c>
      <c r="AZ14" s="51">
        <f>'P&amp;L'!AY12</f>
        <v/>
      </c>
      <c r="BA14" s="51">
        <f>'P&amp;L'!AZ12</f>
        <v/>
      </c>
      <c r="BB14" s="51">
        <f>'P&amp;L'!BA12</f>
        <v/>
      </c>
      <c r="BC14" s="51">
        <f>'P&amp;L'!BB12</f>
        <v/>
      </c>
      <c r="BD14" s="51">
        <f>'P&amp;L'!BC12</f>
        <v/>
      </c>
      <c r="BE14" s="51">
        <f>'P&amp;L'!BD12</f>
        <v/>
      </c>
      <c r="BF14" s="51">
        <f>'P&amp;L'!BE12</f>
        <v/>
      </c>
      <c r="BG14" s="51">
        <f>'P&amp;L'!BF12</f>
        <v/>
      </c>
      <c r="BH14" s="51">
        <f>'P&amp;L'!BG12</f>
        <v/>
      </c>
      <c r="BI14" s="51">
        <f>'P&amp;L'!BH12</f>
        <v/>
      </c>
      <c r="BJ14" s="51">
        <f>'P&amp;L'!BI12</f>
        <v/>
      </c>
      <c r="BK14" s="51">
        <f>'P&amp;L'!BJ12</f>
        <v/>
      </c>
    </row>
    <row r="15">
      <c r="B15" s="29" t="inlineStr">
        <is>
          <t xml:space="preserve">    Total billings</t>
        </is>
      </c>
      <c r="C15" s="19" t="inlineStr">
        <is>
          <t>$</t>
        </is>
      </c>
      <c r="D15" s="46">
        <f>D13+D14</f>
        <v/>
      </c>
      <c r="E15" s="46">
        <f>E13+E14</f>
        <v/>
      </c>
      <c r="F15" s="46">
        <f>F13+F14</f>
        <v/>
      </c>
      <c r="G15" s="46">
        <f>G13+G14</f>
        <v/>
      </c>
      <c r="H15" s="46">
        <f>H13+H14</f>
        <v/>
      </c>
      <c r="I15" s="46">
        <f>I13+I14</f>
        <v/>
      </c>
      <c r="J15" s="46">
        <f>J13+J14</f>
        <v/>
      </c>
      <c r="K15" s="46">
        <f>K13+K14</f>
        <v/>
      </c>
      <c r="L15" s="46">
        <f>L13+L14</f>
        <v/>
      </c>
      <c r="M15" s="46">
        <f>M13+M14</f>
        <v/>
      </c>
      <c r="N15" s="46">
        <f>N13+N14</f>
        <v/>
      </c>
      <c r="O15" s="46">
        <f>O13+O14</f>
        <v/>
      </c>
      <c r="P15" s="46">
        <f>P13+P14</f>
        <v/>
      </c>
      <c r="Q15" s="46">
        <f>Q13+Q14</f>
        <v/>
      </c>
      <c r="R15" s="46">
        <f>R13+R14</f>
        <v/>
      </c>
      <c r="S15" s="46">
        <f>S13+S14</f>
        <v/>
      </c>
      <c r="T15" s="46">
        <f>T13+T14</f>
        <v/>
      </c>
      <c r="U15" s="46">
        <f>U13+U14</f>
        <v/>
      </c>
      <c r="V15" s="46">
        <f>V13+V14</f>
        <v/>
      </c>
      <c r="W15" s="46">
        <f>W13+W14</f>
        <v/>
      </c>
      <c r="X15" s="46">
        <f>X13+X14</f>
        <v/>
      </c>
      <c r="Y15" s="46">
        <f>Y13+Y14</f>
        <v/>
      </c>
      <c r="Z15" s="46">
        <f>Z13+Z14</f>
        <v/>
      </c>
      <c r="AA15" s="46">
        <f>AA13+AA14</f>
        <v/>
      </c>
      <c r="AB15" s="46">
        <f>AB13+AB14</f>
        <v/>
      </c>
      <c r="AC15" s="46">
        <f>AC13+AC14</f>
        <v/>
      </c>
      <c r="AD15" s="46">
        <f>AD13+AD14</f>
        <v/>
      </c>
      <c r="AE15" s="46">
        <f>AE13+AE14</f>
        <v/>
      </c>
      <c r="AF15" s="46">
        <f>AF13+AF14</f>
        <v/>
      </c>
      <c r="AG15" s="46">
        <f>AG13+AG14</f>
        <v/>
      </c>
      <c r="AH15" s="46">
        <f>AH13+AH14</f>
        <v/>
      </c>
      <c r="AI15" s="46">
        <f>AI13+AI14</f>
        <v/>
      </c>
      <c r="AJ15" s="46">
        <f>AJ13+AJ14</f>
        <v/>
      </c>
      <c r="AK15" s="46">
        <f>AK13+AK14</f>
        <v/>
      </c>
      <c r="AL15" s="46">
        <f>AL13+AL14</f>
        <v/>
      </c>
      <c r="AM15" s="46">
        <f>AM13+AM14</f>
        <v/>
      </c>
      <c r="AN15" s="46">
        <f>AN13+AN14</f>
        <v/>
      </c>
      <c r="AO15" s="46">
        <f>AO13+AO14</f>
        <v/>
      </c>
      <c r="AP15" s="46">
        <f>AP13+AP14</f>
        <v/>
      </c>
      <c r="AQ15" s="46">
        <f>AQ13+AQ14</f>
        <v/>
      </c>
      <c r="AR15" s="46">
        <f>AR13+AR14</f>
        <v/>
      </c>
      <c r="AS15" s="46">
        <f>AS13+AS14</f>
        <v/>
      </c>
      <c r="AT15" s="46">
        <f>AT13+AT14</f>
        <v/>
      </c>
      <c r="AU15" s="46">
        <f>AU13+AU14</f>
        <v/>
      </c>
      <c r="AV15" s="46">
        <f>AV13+AV14</f>
        <v/>
      </c>
      <c r="AW15" s="46">
        <f>AW13+AW14</f>
        <v/>
      </c>
      <c r="AX15" s="46">
        <f>AX13+AX14</f>
        <v/>
      </c>
      <c r="AY15" s="46">
        <f>AY13+AY14</f>
        <v/>
      </c>
      <c r="AZ15" s="46">
        <f>AZ13+AZ14</f>
        <v/>
      </c>
      <c r="BA15" s="46">
        <f>BA13+BA14</f>
        <v/>
      </c>
      <c r="BB15" s="46">
        <f>BB13+BB14</f>
        <v/>
      </c>
      <c r="BC15" s="46">
        <f>BC13+BC14</f>
        <v/>
      </c>
      <c r="BD15" s="46">
        <f>BD13+BD14</f>
        <v/>
      </c>
      <c r="BE15" s="46">
        <f>BE13+BE14</f>
        <v/>
      </c>
      <c r="BF15" s="46">
        <f>BF13+BF14</f>
        <v/>
      </c>
      <c r="BG15" s="46">
        <f>BG13+BG14</f>
        <v/>
      </c>
      <c r="BH15" s="46">
        <f>BH13+BH14</f>
        <v/>
      </c>
      <c r="BI15" s="46">
        <f>BI13+BI14</f>
        <v/>
      </c>
      <c r="BJ15" s="46">
        <f>BJ13+BJ14</f>
        <v/>
      </c>
      <c r="BK15" s="46">
        <f>BK13+BK14</f>
        <v/>
      </c>
      <c r="BM15" s="91">
        <f>SUM(D15:O15)</f>
        <v/>
      </c>
      <c r="BN15" s="91">
        <f>SUM(P15:AA15)</f>
        <v/>
      </c>
      <c r="BO15" s="91">
        <f>SUM(AB15:AM15)</f>
        <v/>
      </c>
      <c r="BP15" s="91">
        <f>SUM(AN15:AY15)</f>
        <v/>
      </c>
      <c r="BQ15" s="91">
        <f>SUM(AZ15:BK15)</f>
        <v/>
      </c>
    </row>
    <row r="16"/>
    <row r="17">
      <c r="B17" s="3" t="inlineStr">
        <is>
          <t>WORKING CAPITAL</t>
        </is>
      </c>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c r="AX17" s="4" t="n"/>
      <c r="AY17" s="4" t="n"/>
      <c r="AZ17" s="4" t="n"/>
      <c r="BA17" s="4" t="n"/>
      <c r="BB17" s="4" t="n"/>
      <c r="BC17" s="4" t="n"/>
      <c r="BD17" s="4" t="n"/>
      <c r="BE17" s="4" t="n"/>
      <c r="BF17" s="4" t="n"/>
      <c r="BG17" s="4" t="n"/>
      <c r="BH17" s="4" t="n"/>
      <c r="BI17" s="4" t="n"/>
      <c r="BJ17" s="4" t="n"/>
      <c r="BK17" s="4" t="n"/>
      <c r="BL17" s="4" t="n"/>
      <c r="BM17" s="4" t="n"/>
      <c r="BN17" s="4" t="n"/>
      <c r="BO17" s="4" t="n"/>
      <c r="BP17" s="4" t="n"/>
      <c r="BQ17" s="4" t="n"/>
    </row>
    <row r="18">
      <c r="B18" s="18" t="inlineStr">
        <is>
          <t xml:space="preserve">    Accounts receivable</t>
        </is>
      </c>
      <c r="C18" s="19" t="inlineStr">
        <is>
          <t>$</t>
        </is>
      </c>
      <c r="D18" s="48">
        <f>D15*Inputs!$D$185/30</f>
        <v/>
      </c>
      <c r="E18" s="48">
        <f>E15*Inputs!$D$185/30</f>
        <v/>
      </c>
      <c r="F18" s="48">
        <f>F15*Inputs!$D$185/30</f>
        <v/>
      </c>
      <c r="G18" s="48">
        <f>G15*Inputs!$D$185/30</f>
        <v/>
      </c>
      <c r="H18" s="48">
        <f>H15*Inputs!$D$185/30</f>
        <v/>
      </c>
      <c r="I18" s="48">
        <f>I15*Inputs!$D$185/30</f>
        <v/>
      </c>
      <c r="J18" s="48">
        <f>J15*Inputs!$D$185/30</f>
        <v/>
      </c>
      <c r="K18" s="48">
        <f>K15*Inputs!$D$185/30</f>
        <v/>
      </c>
      <c r="L18" s="48">
        <f>L15*Inputs!$D$185/30</f>
        <v/>
      </c>
      <c r="M18" s="48">
        <f>M15*Inputs!$D$185/30</f>
        <v/>
      </c>
      <c r="N18" s="48">
        <f>N15*Inputs!$D$185/30</f>
        <v/>
      </c>
      <c r="O18" s="48">
        <f>O15*Inputs!$D$185/30</f>
        <v/>
      </c>
      <c r="P18" s="48">
        <f>P15*Inputs!$D$185/30</f>
        <v/>
      </c>
      <c r="Q18" s="48">
        <f>Q15*Inputs!$D$185/30</f>
        <v/>
      </c>
      <c r="R18" s="48">
        <f>R15*Inputs!$D$185/30</f>
        <v/>
      </c>
      <c r="S18" s="48">
        <f>S15*Inputs!$D$185/30</f>
        <v/>
      </c>
      <c r="T18" s="48">
        <f>T15*Inputs!$D$185/30</f>
        <v/>
      </c>
      <c r="U18" s="48">
        <f>U15*Inputs!$D$185/30</f>
        <v/>
      </c>
      <c r="V18" s="48">
        <f>V15*Inputs!$D$185/30</f>
        <v/>
      </c>
      <c r="W18" s="48">
        <f>W15*Inputs!$D$185/30</f>
        <v/>
      </c>
      <c r="X18" s="48">
        <f>X15*Inputs!$D$185/30</f>
        <v/>
      </c>
      <c r="Y18" s="48">
        <f>Y15*Inputs!$D$185/30</f>
        <v/>
      </c>
      <c r="Z18" s="48">
        <f>Z15*Inputs!$D$185/30</f>
        <v/>
      </c>
      <c r="AA18" s="48">
        <f>AA15*Inputs!$D$185/30</f>
        <v/>
      </c>
      <c r="AB18" s="48">
        <f>AB15*Inputs!$D$185/30</f>
        <v/>
      </c>
      <c r="AC18" s="48">
        <f>AC15*Inputs!$D$185/30</f>
        <v/>
      </c>
      <c r="AD18" s="48">
        <f>AD15*Inputs!$D$185/30</f>
        <v/>
      </c>
      <c r="AE18" s="48">
        <f>AE15*Inputs!$D$185/30</f>
        <v/>
      </c>
      <c r="AF18" s="48">
        <f>AF15*Inputs!$D$185/30</f>
        <v/>
      </c>
      <c r="AG18" s="48">
        <f>AG15*Inputs!$D$185/30</f>
        <v/>
      </c>
      <c r="AH18" s="48">
        <f>AH15*Inputs!$D$185/30</f>
        <v/>
      </c>
      <c r="AI18" s="48">
        <f>AI15*Inputs!$D$185/30</f>
        <v/>
      </c>
      <c r="AJ18" s="48">
        <f>AJ15*Inputs!$D$185/30</f>
        <v/>
      </c>
      <c r="AK18" s="48">
        <f>AK15*Inputs!$D$185/30</f>
        <v/>
      </c>
      <c r="AL18" s="48">
        <f>AL15*Inputs!$D$185/30</f>
        <v/>
      </c>
      <c r="AM18" s="48">
        <f>AM15*Inputs!$D$185/30</f>
        <v/>
      </c>
      <c r="AN18" s="48">
        <f>AN15*Inputs!$D$185/30</f>
        <v/>
      </c>
      <c r="AO18" s="48">
        <f>AO15*Inputs!$D$185/30</f>
        <v/>
      </c>
      <c r="AP18" s="48">
        <f>AP15*Inputs!$D$185/30</f>
        <v/>
      </c>
      <c r="AQ18" s="48">
        <f>AQ15*Inputs!$D$185/30</f>
        <v/>
      </c>
      <c r="AR18" s="48">
        <f>AR15*Inputs!$D$185/30</f>
        <v/>
      </c>
      <c r="AS18" s="48">
        <f>AS15*Inputs!$D$185/30</f>
        <v/>
      </c>
      <c r="AT18" s="48">
        <f>AT15*Inputs!$D$185/30</f>
        <v/>
      </c>
      <c r="AU18" s="48">
        <f>AU15*Inputs!$D$185/30</f>
        <v/>
      </c>
      <c r="AV18" s="48">
        <f>AV15*Inputs!$D$185/30</f>
        <v/>
      </c>
      <c r="AW18" s="48">
        <f>AW15*Inputs!$D$185/30</f>
        <v/>
      </c>
      <c r="AX18" s="48">
        <f>AX15*Inputs!$D$185/30</f>
        <v/>
      </c>
      <c r="AY18" s="48">
        <f>AY15*Inputs!$D$185/30</f>
        <v/>
      </c>
      <c r="AZ18" s="48">
        <f>AZ15*Inputs!$D$185/30</f>
        <v/>
      </c>
      <c r="BA18" s="48">
        <f>BA15*Inputs!$D$185/30</f>
        <v/>
      </c>
      <c r="BB18" s="48">
        <f>BB15*Inputs!$D$185/30</f>
        <v/>
      </c>
      <c r="BC18" s="48">
        <f>BC15*Inputs!$D$185/30</f>
        <v/>
      </c>
      <c r="BD18" s="48">
        <f>BD15*Inputs!$D$185/30</f>
        <v/>
      </c>
      <c r="BE18" s="48">
        <f>BE15*Inputs!$D$185/30</f>
        <v/>
      </c>
      <c r="BF18" s="48">
        <f>BF15*Inputs!$D$185/30</f>
        <v/>
      </c>
      <c r="BG18" s="48">
        <f>BG15*Inputs!$D$185/30</f>
        <v/>
      </c>
      <c r="BH18" s="48">
        <f>BH15*Inputs!$D$185/30</f>
        <v/>
      </c>
      <c r="BI18" s="48">
        <f>BI15*Inputs!$D$185/30</f>
        <v/>
      </c>
      <c r="BJ18" s="48">
        <f>BJ15*Inputs!$D$185/30</f>
        <v/>
      </c>
      <c r="BK18" s="48">
        <f>BK15*Inputs!$D$185/30</f>
        <v/>
      </c>
      <c r="BM18" s="47">
        <f>O18</f>
        <v/>
      </c>
      <c r="BN18" s="47">
        <f>AA18</f>
        <v/>
      </c>
      <c r="BO18" s="47">
        <f>AM18</f>
        <v/>
      </c>
      <c r="BP18" s="47">
        <f>AY18</f>
        <v/>
      </c>
      <c r="BQ18" s="47">
        <f>BK18</f>
        <v/>
      </c>
    </row>
    <row r="19">
      <c r="B19" s="18" t="inlineStr">
        <is>
          <t xml:space="preserve">    Change in receivables</t>
        </is>
      </c>
      <c r="C19" s="19" t="inlineStr">
        <is>
          <t>$</t>
        </is>
      </c>
      <c r="D19" s="48">
        <f>0</f>
        <v/>
      </c>
      <c r="E19" s="48">
        <f>E18-D18</f>
        <v/>
      </c>
      <c r="F19" s="48">
        <f>F18-E18</f>
        <v/>
      </c>
      <c r="G19" s="48">
        <f>G18-F18</f>
        <v/>
      </c>
      <c r="H19" s="48">
        <f>H18-G18</f>
        <v/>
      </c>
      <c r="I19" s="48">
        <f>I18-H18</f>
        <v/>
      </c>
      <c r="J19" s="48">
        <f>J18-I18</f>
        <v/>
      </c>
      <c r="K19" s="48">
        <f>K18-J18</f>
        <v/>
      </c>
      <c r="L19" s="48">
        <f>L18-K18</f>
        <v/>
      </c>
      <c r="M19" s="48">
        <f>M18-L18</f>
        <v/>
      </c>
      <c r="N19" s="48">
        <f>N18-M18</f>
        <v/>
      </c>
      <c r="O19" s="48">
        <f>O18-N18</f>
        <v/>
      </c>
      <c r="P19" s="48">
        <f>P18-O18</f>
        <v/>
      </c>
      <c r="Q19" s="48">
        <f>Q18-P18</f>
        <v/>
      </c>
      <c r="R19" s="48">
        <f>R18-Q18</f>
        <v/>
      </c>
      <c r="S19" s="48">
        <f>S18-R18</f>
        <v/>
      </c>
      <c r="T19" s="48">
        <f>T18-S18</f>
        <v/>
      </c>
      <c r="U19" s="48">
        <f>U18-T18</f>
        <v/>
      </c>
      <c r="V19" s="48">
        <f>V18-U18</f>
        <v/>
      </c>
      <c r="W19" s="48">
        <f>W18-V18</f>
        <v/>
      </c>
      <c r="X19" s="48">
        <f>X18-W18</f>
        <v/>
      </c>
      <c r="Y19" s="48">
        <f>Y18-X18</f>
        <v/>
      </c>
      <c r="Z19" s="48">
        <f>Z18-Y18</f>
        <v/>
      </c>
      <c r="AA19" s="48">
        <f>AA18-Z18</f>
        <v/>
      </c>
      <c r="AB19" s="48">
        <f>AB18-AA18</f>
        <v/>
      </c>
      <c r="AC19" s="48">
        <f>AC18-AB18</f>
        <v/>
      </c>
      <c r="AD19" s="48">
        <f>AD18-AC18</f>
        <v/>
      </c>
      <c r="AE19" s="48">
        <f>AE18-AD18</f>
        <v/>
      </c>
      <c r="AF19" s="48">
        <f>AF18-AE18</f>
        <v/>
      </c>
      <c r="AG19" s="48">
        <f>AG18-AF18</f>
        <v/>
      </c>
      <c r="AH19" s="48">
        <f>AH18-AG18</f>
        <v/>
      </c>
      <c r="AI19" s="48">
        <f>AI18-AH18</f>
        <v/>
      </c>
      <c r="AJ19" s="48">
        <f>AJ18-AI18</f>
        <v/>
      </c>
      <c r="AK19" s="48">
        <f>AK18-AJ18</f>
        <v/>
      </c>
      <c r="AL19" s="48">
        <f>AL18-AK18</f>
        <v/>
      </c>
      <c r="AM19" s="48">
        <f>AM18-AL18</f>
        <v/>
      </c>
      <c r="AN19" s="48">
        <f>AN18-AM18</f>
        <v/>
      </c>
      <c r="AO19" s="48">
        <f>AO18-AN18</f>
        <v/>
      </c>
      <c r="AP19" s="48">
        <f>AP18-AO18</f>
        <v/>
      </c>
      <c r="AQ19" s="48">
        <f>AQ18-AP18</f>
        <v/>
      </c>
      <c r="AR19" s="48">
        <f>AR18-AQ18</f>
        <v/>
      </c>
      <c r="AS19" s="48">
        <f>AS18-AR18</f>
        <v/>
      </c>
      <c r="AT19" s="48">
        <f>AT18-AS18</f>
        <v/>
      </c>
      <c r="AU19" s="48">
        <f>AU18-AT18</f>
        <v/>
      </c>
      <c r="AV19" s="48">
        <f>AV18-AU18</f>
        <v/>
      </c>
      <c r="AW19" s="48">
        <f>AW18-AV18</f>
        <v/>
      </c>
      <c r="AX19" s="48">
        <f>AX18-AW18</f>
        <v/>
      </c>
      <c r="AY19" s="48">
        <f>AY18-AX18</f>
        <v/>
      </c>
      <c r="AZ19" s="48">
        <f>AZ18-AY18</f>
        <v/>
      </c>
      <c r="BA19" s="48">
        <f>BA18-AZ18</f>
        <v/>
      </c>
      <c r="BB19" s="48">
        <f>BB18-BA18</f>
        <v/>
      </c>
      <c r="BC19" s="48">
        <f>BC18-BB18</f>
        <v/>
      </c>
      <c r="BD19" s="48">
        <f>BD18-BC18</f>
        <v/>
      </c>
      <c r="BE19" s="48">
        <f>BE18-BD18</f>
        <v/>
      </c>
      <c r="BF19" s="48">
        <f>BF18-BE18</f>
        <v/>
      </c>
      <c r="BG19" s="48">
        <f>BG18-BF18</f>
        <v/>
      </c>
      <c r="BH19" s="48">
        <f>BH18-BG18</f>
        <v/>
      </c>
      <c r="BI19" s="48">
        <f>BI18-BH18</f>
        <v/>
      </c>
      <c r="BJ19" s="48">
        <f>BJ18-BI18</f>
        <v/>
      </c>
      <c r="BK19" s="48">
        <f>BK18-BJ18</f>
        <v/>
      </c>
    </row>
    <row r="20">
      <c r="B20" s="18" t="inlineStr">
        <is>
          <t xml:space="preserve">    Accounts payable</t>
        </is>
      </c>
      <c r="C20" s="19" t="inlineStr">
        <is>
          <t>$</t>
        </is>
      </c>
      <c r="D20" s="51">
        <f>('P&amp;L'!D23+'P&amp;L'!D40)*Inputs!$D$186/30</f>
        <v/>
      </c>
      <c r="E20" s="51">
        <f>('P&amp;L'!E23+'P&amp;L'!E40)*Inputs!$D$186/30</f>
        <v/>
      </c>
      <c r="F20" s="51">
        <f>('P&amp;L'!F23+'P&amp;L'!F40)*Inputs!$D$186/30</f>
        <v/>
      </c>
      <c r="G20" s="51">
        <f>('P&amp;L'!G23+'P&amp;L'!G40)*Inputs!$D$186/30</f>
        <v/>
      </c>
      <c r="H20" s="51">
        <f>('P&amp;L'!H23+'P&amp;L'!H40)*Inputs!$D$186/30</f>
        <v/>
      </c>
      <c r="I20" s="51">
        <f>('P&amp;L'!I23+'P&amp;L'!I40)*Inputs!$D$186/30</f>
        <v/>
      </c>
      <c r="J20" s="51">
        <f>('P&amp;L'!J23+'P&amp;L'!J40)*Inputs!$D$186/30</f>
        <v/>
      </c>
      <c r="K20" s="51">
        <f>('P&amp;L'!K23+'P&amp;L'!K40)*Inputs!$D$186/30</f>
        <v/>
      </c>
      <c r="L20" s="51">
        <f>('P&amp;L'!L23+'P&amp;L'!L40)*Inputs!$D$186/30</f>
        <v/>
      </c>
      <c r="M20" s="51">
        <f>('P&amp;L'!M23+'P&amp;L'!M40)*Inputs!$D$186/30</f>
        <v/>
      </c>
      <c r="N20" s="51">
        <f>('P&amp;L'!N23+'P&amp;L'!N40)*Inputs!$D$186/30</f>
        <v/>
      </c>
      <c r="O20" s="51">
        <f>('P&amp;L'!O23+'P&amp;L'!O40)*Inputs!$D$186/30</f>
        <v/>
      </c>
      <c r="P20" s="51">
        <f>('P&amp;L'!P23+'P&amp;L'!P40)*Inputs!$D$186/30</f>
        <v/>
      </c>
      <c r="Q20" s="51">
        <f>('P&amp;L'!Q23+'P&amp;L'!Q40)*Inputs!$D$186/30</f>
        <v/>
      </c>
      <c r="R20" s="51">
        <f>('P&amp;L'!R23+'P&amp;L'!R40)*Inputs!$D$186/30</f>
        <v/>
      </c>
      <c r="S20" s="51">
        <f>('P&amp;L'!S23+'P&amp;L'!S40)*Inputs!$D$186/30</f>
        <v/>
      </c>
      <c r="T20" s="51">
        <f>('P&amp;L'!T23+'P&amp;L'!T40)*Inputs!$D$186/30</f>
        <v/>
      </c>
      <c r="U20" s="51">
        <f>('P&amp;L'!U23+'P&amp;L'!U40)*Inputs!$D$186/30</f>
        <v/>
      </c>
      <c r="V20" s="51">
        <f>('P&amp;L'!V23+'P&amp;L'!V40)*Inputs!$D$186/30</f>
        <v/>
      </c>
      <c r="W20" s="51">
        <f>('P&amp;L'!W23+'P&amp;L'!W40)*Inputs!$D$186/30</f>
        <v/>
      </c>
      <c r="X20" s="51">
        <f>('P&amp;L'!X23+'P&amp;L'!X40)*Inputs!$D$186/30</f>
        <v/>
      </c>
      <c r="Y20" s="51">
        <f>('P&amp;L'!Y23+'P&amp;L'!Y40)*Inputs!$D$186/30</f>
        <v/>
      </c>
      <c r="Z20" s="51">
        <f>('P&amp;L'!Z23+'P&amp;L'!Z40)*Inputs!$D$186/30</f>
        <v/>
      </c>
      <c r="AA20" s="51">
        <f>('P&amp;L'!AA23+'P&amp;L'!AA40)*Inputs!$D$186/30</f>
        <v/>
      </c>
      <c r="AB20" s="51">
        <f>('P&amp;L'!AB23+'P&amp;L'!AB40)*Inputs!$D$186/30</f>
        <v/>
      </c>
      <c r="AC20" s="51">
        <f>('P&amp;L'!AC23+'P&amp;L'!AC40)*Inputs!$D$186/30</f>
        <v/>
      </c>
      <c r="AD20" s="51">
        <f>('P&amp;L'!AD23+'P&amp;L'!AD40)*Inputs!$D$186/30</f>
        <v/>
      </c>
      <c r="AE20" s="51">
        <f>('P&amp;L'!AE23+'P&amp;L'!AE40)*Inputs!$D$186/30</f>
        <v/>
      </c>
      <c r="AF20" s="51">
        <f>('P&amp;L'!AF23+'P&amp;L'!AF40)*Inputs!$D$186/30</f>
        <v/>
      </c>
      <c r="AG20" s="51">
        <f>('P&amp;L'!AG23+'P&amp;L'!AG40)*Inputs!$D$186/30</f>
        <v/>
      </c>
      <c r="AH20" s="51">
        <f>('P&amp;L'!AH23+'P&amp;L'!AH40)*Inputs!$D$186/30</f>
        <v/>
      </c>
      <c r="AI20" s="51">
        <f>('P&amp;L'!AI23+'P&amp;L'!AI40)*Inputs!$D$186/30</f>
        <v/>
      </c>
      <c r="AJ20" s="51">
        <f>('P&amp;L'!AJ23+'P&amp;L'!AJ40)*Inputs!$D$186/30</f>
        <v/>
      </c>
      <c r="AK20" s="51">
        <f>('P&amp;L'!AK23+'P&amp;L'!AK40)*Inputs!$D$186/30</f>
        <v/>
      </c>
      <c r="AL20" s="51">
        <f>('P&amp;L'!AL23+'P&amp;L'!AL40)*Inputs!$D$186/30</f>
        <v/>
      </c>
      <c r="AM20" s="51">
        <f>('P&amp;L'!AM23+'P&amp;L'!AM40)*Inputs!$D$186/30</f>
        <v/>
      </c>
      <c r="AN20" s="51">
        <f>('P&amp;L'!AN23+'P&amp;L'!AN40)*Inputs!$D$186/30</f>
        <v/>
      </c>
      <c r="AO20" s="51">
        <f>('P&amp;L'!AO23+'P&amp;L'!AO40)*Inputs!$D$186/30</f>
        <v/>
      </c>
      <c r="AP20" s="51">
        <f>('P&amp;L'!AP23+'P&amp;L'!AP40)*Inputs!$D$186/30</f>
        <v/>
      </c>
      <c r="AQ20" s="51">
        <f>('P&amp;L'!AQ23+'P&amp;L'!AQ40)*Inputs!$D$186/30</f>
        <v/>
      </c>
      <c r="AR20" s="51">
        <f>('P&amp;L'!AR23+'P&amp;L'!AR40)*Inputs!$D$186/30</f>
        <v/>
      </c>
      <c r="AS20" s="51">
        <f>('P&amp;L'!AS23+'P&amp;L'!AS40)*Inputs!$D$186/30</f>
        <v/>
      </c>
      <c r="AT20" s="51">
        <f>('P&amp;L'!AT23+'P&amp;L'!AT40)*Inputs!$D$186/30</f>
        <v/>
      </c>
      <c r="AU20" s="51">
        <f>('P&amp;L'!AU23+'P&amp;L'!AU40)*Inputs!$D$186/30</f>
        <v/>
      </c>
      <c r="AV20" s="51">
        <f>('P&amp;L'!AV23+'P&amp;L'!AV40)*Inputs!$D$186/30</f>
        <v/>
      </c>
      <c r="AW20" s="51">
        <f>('P&amp;L'!AW23+'P&amp;L'!AW40)*Inputs!$D$186/30</f>
        <v/>
      </c>
      <c r="AX20" s="51">
        <f>('P&amp;L'!AX23+'P&amp;L'!AX40)*Inputs!$D$186/30</f>
        <v/>
      </c>
      <c r="AY20" s="51">
        <f>('P&amp;L'!AY23+'P&amp;L'!AY40)*Inputs!$D$186/30</f>
        <v/>
      </c>
      <c r="AZ20" s="51">
        <f>('P&amp;L'!AZ23+'P&amp;L'!AZ40)*Inputs!$D$186/30</f>
        <v/>
      </c>
      <c r="BA20" s="51">
        <f>('P&amp;L'!BA23+'P&amp;L'!BA40)*Inputs!$D$186/30</f>
        <v/>
      </c>
      <c r="BB20" s="51">
        <f>('P&amp;L'!BB23+'P&amp;L'!BB40)*Inputs!$D$186/30</f>
        <v/>
      </c>
      <c r="BC20" s="51">
        <f>('P&amp;L'!BC23+'P&amp;L'!BC40)*Inputs!$D$186/30</f>
        <v/>
      </c>
      <c r="BD20" s="51">
        <f>('P&amp;L'!BD23+'P&amp;L'!BD40)*Inputs!$D$186/30</f>
        <v/>
      </c>
      <c r="BE20" s="51">
        <f>('P&amp;L'!BE23+'P&amp;L'!BE40)*Inputs!$D$186/30</f>
        <v/>
      </c>
      <c r="BF20" s="51">
        <f>('P&amp;L'!BF23+'P&amp;L'!BF40)*Inputs!$D$186/30</f>
        <v/>
      </c>
      <c r="BG20" s="51">
        <f>('P&amp;L'!BG23+'P&amp;L'!BG40)*Inputs!$D$186/30</f>
        <v/>
      </c>
      <c r="BH20" s="51">
        <f>('P&amp;L'!BH23+'P&amp;L'!BH40)*Inputs!$D$186/30</f>
        <v/>
      </c>
      <c r="BI20" s="51">
        <f>('P&amp;L'!BI23+'P&amp;L'!BI40)*Inputs!$D$186/30</f>
        <v/>
      </c>
      <c r="BJ20" s="51">
        <f>('P&amp;L'!BJ23+'P&amp;L'!BJ40)*Inputs!$D$186/30</f>
        <v/>
      </c>
      <c r="BK20" s="51">
        <f>('P&amp;L'!BK23+'P&amp;L'!BK40)*Inputs!$D$186/30</f>
        <v/>
      </c>
    </row>
    <row r="21">
      <c r="B21" s="18" t="inlineStr">
        <is>
          <t xml:space="preserve">    Change in payables</t>
        </is>
      </c>
      <c r="C21" s="19" t="inlineStr">
        <is>
          <t>$</t>
        </is>
      </c>
      <c r="D21" s="48">
        <f>0</f>
        <v/>
      </c>
      <c r="E21" s="48">
        <f>E20-D20</f>
        <v/>
      </c>
      <c r="F21" s="48">
        <f>F20-E20</f>
        <v/>
      </c>
      <c r="G21" s="48">
        <f>G20-F20</f>
        <v/>
      </c>
      <c r="H21" s="48">
        <f>H20-G20</f>
        <v/>
      </c>
      <c r="I21" s="48">
        <f>I20-H20</f>
        <v/>
      </c>
      <c r="J21" s="48">
        <f>J20-I20</f>
        <v/>
      </c>
      <c r="K21" s="48">
        <f>K20-J20</f>
        <v/>
      </c>
      <c r="L21" s="48">
        <f>L20-K20</f>
        <v/>
      </c>
      <c r="M21" s="48">
        <f>M20-L20</f>
        <v/>
      </c>
      <c r="N21" s="48">
        <f>N20-M20</f>
        <v/>
      </c>
      <c r="O21" s="48">
        <f>O20-N20</f>
        <v/>
      </c>
      <c r="P21" s="48">
        <f>P20-O20</f>
        <v/>
      </c>
      <c r="Q21" s="48">
        <f>Q20-P20</f>
        <v/>
      </c>
      <c r="R21" s="48">
        <f>R20-Q20</f>
        <v/>
      </c>
      <c r="S21" s="48">
        <f>S20-R20</f>
        <v/>
      </c>
      <c r="T21" s="48">
        <f>T20-S20</f>
        <v/>
      </c>
      <c r="U21" s="48">
        <f>U20-T20</f>
        <v/>
      </c>
      <c r="V21" s="48">
        <f>V20-U20</f>
        <v/>
      </c>
      <c r="W21" s="48">
        <f>W20-V20</f>
        <v/>
      </c>
      <c r="X21" s="48">
        <f>X20-W20</f>
        <v/>
      </c>
      <c r="Y21" s="48">
        <f>Y20-X20</f>
        <v/>
      </c>
      <c r="Z21" s="48">
        <f>Z20-Y20</f>
        <v/>
      </c>
      <c r="AA21" s="48">
        <f>AA20-Z20</f>
        <v/>
      </c>
      <c r="AB21" s="48">
        <f>AB20-AA20</f>
        <v/>
      </c>
      <c r="AC21" s="48">
        <f>AC20-AB20</f>
        <v/>
      </c>
      <c r="AD21" s="48">
        <f>AD20-AC20</f>
        <v/>
      </c>
      <c r="AE21" s="48">
        <f>AE20-AD20</f>
        <v/>
      </c>
      <c r="AF21" s="48">
        <f>AF20-AE20</f>
        <v/>
      </c>
      <c r="AG21" s="48">
        <f>AG20-AF20</f>
        <v/>
      </c>
      <c r="AH21" s="48">
        <f>AH20-AG20</f>
        <v/>
      </c>
      <c r="AI21" s="48">
        <f>AI20-AH20</f>
        <v/>
      </c>
      <c r="AJ21" s="48">
        <f>AJ20-AI20</f>
        <v/>
      </c>
      <c r="AK21" s="48">
        <f>AK20-AJ20</f>
        <v/>
      </c>
      <c r="AL21" s="48">
        <f>AL20-AK20</f>
        <v/>
      </c>
      <c r="AM21" s="48">
        <f>AM20-AL20</f>
        <v/>
      </c>
      <c r="AN21" s="48">
        <f>AN20-AM20</f>
        <v/>
      </c>
      <c r="AO21" s="48">
        <f>AO20-AN20</f>
        <v/>
      </c>
      <c r="AP21" s="48">
        <f>AP20-AO20</f>
        <v/>
      </c>
      <c r="AQ21" s="48">
        <f>AQ20-AP20</f>
        <v/>
      </c>
      <c r="AR21" s="48">
        <f>AR20-AQ20</f>
        <v/>
      </c>
      <c r="AS21" s="48">
        <f>AS20-AR20</f>
        <v/>
      </c>
      <c r="AT21" s="48">
        <f>AT20-AS20</f>
        <v/>
      </c>
      <c r="AU21" s="48">
        <f>AU20-AT20</f>
        <v/>
      </c>
      <c r="AV21" s="48">
        <f>AV20-AU20</f>
        <v/>
      </c>
      <c r="AW21" s="48">
        <f>AW20-AV20</f>
        <v/>
      </c>
      <c r="AX21" s="48">
        <f>AX20-AW20</f>
        <v/>
      </c>
      <c r="AY21" s="48">
        <f>AY20-AX20</f>
        <v/>
      </c>
      <c r="AZ21" s="48">
        <f>AZ20-AY20</f>
        <v/>
      </c>
      <c r="BA21" s="48">
        <f>BA20-AZ20</f>
        <v/>
      </c>
      <c r="BB21" s="48">
        <f>BB20-BA20</f>
        <v/>
      </c>
      <c r="BC21" s="48">
        <f>BC20-BB20</f>
        <v/>
      </c>
      <c r="BD21" s="48">
        <f>BD20-BC20</f>
        <v/>
      </c>
      <c r="BE21" s="48">
        <f>BE20-BD20</f>
        <v/>
      </c>
      <c r="BF21" s="48">
        <f>BF20-BE20</f>
        <v/>
      </c>
      <c r="BG21" s="48">
        <f>BG20-BF20</f>
        <v/>
      </c>
      <c r="BH21" s="48">
        <f>BH20-BG20</f>
        <v/>
      </c>
      <c r="BI21" s="48">
        <f>BI20-BH20</f>
        <v/>
      </c>
      <c r="BJ21" s="48">
        <f>BJ20-BI20</f>
        <v/>
      </c>
      <c r="BK21" s="48">
        <f>BK20-BJ20</f>
        <v/>
      </c>
    </row>
    <row r="22">
      <c r="B22" s="18" t="inlineStr">
        <is>
          <t xml:space="preserve">    Bad debt</t>
        </is>
      </c>
      <c r="C22" s="19" t="inlineStr">
        <is>
          <t>$</t>
        </is>
      </c>
      <c r="D22" s="48">
        <f>D15*Inputs!$D$187</f>
        <v/>
      </c>
      <c r="E22" s="48">
        <f>E15*Inputs!$D$187</f>
        <v/>
      </c>
      <c r="F22" s="48">
        <f>F15*Inputs!$D$187</f>
        <v/>
      </c>
      <c r="G22" s="48">
        <f>G15*Inputs!$D$187</f>
        <v/>
      </c>
      <c r="H22" s="48">
        <f>H15*Inputs!$D$187</f>
        <v/>
      </c>
      <c r="I22" s="48">
        <f>I15*Inputs!$D$187</f>
        <v/>
      </c>
      <c r="J22" s="48">
        <f>J15*Inputs!$D$187</f>
        <v/>
      </c>
      <c r="K22" s="48">
        <f>K15*Inputs!$D$187</f>
        <v/>
      </c>
      <c r="L22" s="48">
        <f>L15*Inputs!$D$187</f>
        <v/>
      </c>
      <c r="M22" s="48">
        <f>M15*Inputs!$D$187</f>
        <v/>
      </c>
      <c r="N22" s="48">
        <f>N15*Inputs!$D$187</f>
        <v/>
      </c>
      <c r="O22" s="48">
        <f>O15*Inputs!$D$187</f>
        <v/>
      </c>
      <c r="P22" s="48">
        <f>P15*Inputs!$D$187</f>
        <v/>
      </c>
      <c r="Q22" s="48">
        <f>Q15*Inputs!$D$187</f>
        <v/>
      </c>
      <c r="R22" s="48">
        <f>R15*Inputs!$D$187</f>
        <v/>
      </c>
      <c r="S22" s="48">
        <f>S15*Inputs!$D$187</f>
        <v/>
      </c>
      <c r="T22" s="48">
        <f>T15*Inputs!$D$187</f>
        <v/>
      </c>
      <c r="U22" s="48">
        <f>U15*Inputs!$D$187</f>
        <v/>
      </c>
      <c r="V22" s="48">
        <f>V15*Inputs!$D$187</f>
        <v/>
      </c>
      <c r="W22" s="48">
        <f>W15*Inputs!$D$187</f>
        <v/>
      </c>
      <c r="X22" s="48">
        <f>X15*Inputs!$D$187</f>
        <v/>
      </c>
      <c r="Y22" s="48">
        <f>Y15*Inputs!$D$187</f>
        <v/>
      </c>
      <c r="Z22" s="48">
        <f>Z15*Inputs!$D$187</f>
        <v/>
      </c>
      <c r="AA22" s="48">
        <f>AA15*Inputs!$D$187</f>
        <v/>
      </c>
      <c r="AB22" s="48">
        <f>AB15*Inputs!$D$187</f>
        <v/>
      </c>
      <c r="AC22" s="48">
        <f>AC15*Inputs!$D$187</f>
        <v/>
      </c>
      <c r="AD22" s="48">
        <f>AD15*Inputs!$D$187</f>
        <v/>
      </c>
      <c r="AE22" s="48">
        <f>AE15*Inputs!$D$187</f>
        <v/>
      </c>
      <c r="AF22" s="48">
        <f>AF15*Inputs!$D$187</f>
        <v/>
      </c>
      <c r="AG22" s="48">
        <f>AG15*Inputs!$D$187</f>
        <v/>
      </c>
      <c r="AH22" s="48">
        <f>AH15*Inputs!$D$187</f>
        <v/>
      </c>
      <c r="AI22" s="48">
        <f>AI15*Inputs!$D$187</f>
        <v/>
      </c>
      <c r="AJ22" s="48">
        <f>AJ15*Inputs!$D$187</f>
        <v/>
      </c>
      <c r="AK22" s="48">
        <f>AK15*Inputs!$D$187</f>
        <v/>
      </c>
      <c r="AL22" s="48">
        <f>AL15*Inputs!$D$187</f>
        <v/>
      </c>
      <c r="AM22" s="48">
        <f>AM15*Inputs!$D$187</f>
        <v/>
      </c>
      <c r="AN22" s="48">
        <f>AN15*Inputs!$D$187</f>
        <v/>
      </c>
      <c r="AO22" s="48">
        <f>AO15*Inputs!$D$187</f>
        <v/>
      </c>
      <c r="AP22" s="48">
        <f>AP15*Inputs!$D$187</f>
        <v/>
      </c>
      <c r="AQ22" s="48">
        <f>AQ15*Inputs!$D$187</f>
        <v/>
      </c>
      <c r="AR22" s="48">
        <f>AR15*Inputs!$D$187</f>
        <v/>
      </c>
      <c r="AS22" s="48">
        <f>AS15*Inputs!$D$187</f>
        <v/>
      </c>
      <c r="AT22" s="48">
        <f>AT15*Inputs!$D$187</f>
        <v/>
      </c>
      <c r="AU22" s="48">
        <f>AU15*Inputs!$D$187</f>
        <v/>
      </c>
      <c r="AV22" s="48">
        <f>AV15*Inputs!$D$187</f>
        <v/>
      </c>
      <c r="AW22" s="48">
        <f>AW15*Inputs!$D$187</f>
        <v/>
      </c>
      <c r="AX22" s="48">
        <f>AX15*Inputs!$D$187</f>
        <v/>
      </c>
      <c r="AY22" s="48">
        <f>AY15*Inputs!$D$187</f>
        <v/>
      </c>
      <c r="AZ22" s="48">
        <f>AZ15*Inputs!$D$187</f>
        <v/>
      </c>
      <c r="BA22" s="48">
        <f>BA15*Inputs!$D$187</f>
        <v/>
      </c>
      <c r="BB22" s="48">
        <f>BB15*Inputs!$D$187</f>
        <v/>
      </c>
      <c r="BC22" s="48">
        <f>BC15*Inputs!$D$187</f>
        <v/>
      </c>
      <c r="BD22" s="48">
        <f>BD15*Inputs!$D$187</f>
        <v/>
      </c>
      <c r="BE22" s="48">
        <f>BE15*Inputs!$D$187</f>
        <v/>
      </c>
      <c r="BF22" s="48">
        <f>BF15*Inputs!$D$187</f>
        <v/>
      </c>
      <c r="BG22" s="48">
        <f>BG15*Inputs!$D$187</f>
        <v/>
      </c>
      <c r="BH22" s="48">
        <f>BH15*Inputs!$D$187</f>
        <v/>
      </c>
      <c r="BI22" s="48">
        <f>BI15*Inputs!$D$187</f>
        <v/>
      </c>
      <c r="BJ22" s="48">
        <f>BJ15*Inputs!$D$187</f>
        <v/>
      </c>
      <c r="BK22" s="48">
        <f>BK15*Inputs!$D$187</f>
        <v/>
      </c>
    </row>
    <row r="23"/>
    <row r="24">
      <c r="B24" s="3" t="inlineStr">
        <is>
          <t>CAPITAL AND NON CASH</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c r="BB24" s="4" t="n"/>
      <c r="BC24" s="4" t="n"/>
      <c r="BD24" s="4" t="n"/>
      <c r="BE24" s="4" t="n"/>
      <c r="BF24" s="4" t="n"/>
      <c r="BG24" s="4" t="n"/>
      <c r="BH24" s="4" t="n"/>
      <c r="BI24" s="4" t="n"/>
      <c r="BJ24" s="4" t="n"/>
      <c r="BK24" s="4" t="n"/>
      <c r="BL24" s="4" t="n"/>
      <c r="BM24" s="4" t="n"/>
      <c r="BN24" s="4" t="n"/>
      <c r="BO24" s="4" t="n"/>
      <c r="BP24" s="4" t="n"/>
      <c r="BQ24" s="4" t="n"/>
    </row>
    <row r="25">
      <c r="B25" s="18" t="inlineStr">
        <is>
          <t xml:space="preserve">    Capital expenditure</t>
        </is>
      </c>
      <c r="C25" s="19" t="inlineStr">
        <is>
          <t>$</t>
        </is>
      </c>
      <c r="D25" s="51">
        <f>Headcount!D21*Inputs!$D$188+IF(AND(Headcount!D20&gt;=Inputs!$D$173,Headcount!D20&lt;Inputs!$D$173),Inputs!$D$189,0)</f>
        <v/>
      </c>
      <c r="E25" s="51">
        <f>Headcount!E21*Inputs!$D$188+IF(AND(Headcount!E20&gt;=Inputs!$D$173,Headcount!D20&lt;Inputs!$D$173),Inputs!$D$189,0)</f>
        <v/>
      </c>
      <c r="F25" s="51">
        <f>Headcount!F21*Inputs!$D$188+IF(AND(Headcount!F20&gt;=Inputs!$D$173,Headcount!E20&lt;Inputs!$D$173),Inputs!$D$189,0)</f>
        <v/>
      </c>
      <c r="G25" s="51">
        <f>Headcount!G21*Inputs!$D$188+IF(AND(Headcount!G20&gt;=Inputs!$D$173,Headcount!F20&lt;Inputs!$D$173),Inputs!$D$189,0)</f>
        <v/>
      </c>
      <c r="H25" s="51">
        <f>Headcount!H21*Inputs!$D$188+IF(AND(Headcount!H20&gt;=Inputs!$D$173,Headcount!G20&lt;Inputs!$D$173),Inputs!$D$189,0)</f>
        <v/>
      </c>
      <c r="I25" s="51">
        <f>Headcount!I21*Inputs!$D$188+IF(AND(Headcount!I20&gt;=Inputs!$D$173,Headcount!H20&lt;Inputs!$D$173),Inputs!$D$189,0)</f>
        <v/>
      </c>
      <c r="J25" s="51">
        <f>Headcount!J21*Inputs!$D$188+IF(AND(Headcount!J20&gt;=Inputs!$D$173,Headcount!I20&lt;Inputs!$D$173),Inputs!$D$189,0)</f>
        <v/>
      </c>
      <c r="K25" s="51">
        <f>Headcount!K21*Inputs!$D$188+IF(AND(Headcount!K20&gt;=Inputs!$D$173,Headcount!J20&lt;Inputs!$D$173),Inputs!$D$189,0)</f>
        <v/>
      </c>
      <c r="L25" s="51">
        <f>Headcount!L21*Inputs!$D$188+IF(AND(Headcount!L20&gt;=Inputs!$D$173,Headcount!K20&lt;Inputs!$D$173),Inputs!$D$189,0)</f>
        <v/>
      </c>
      <c r="M25" s="51">
        <f>Headcount!M21*Inputs!$D$188+IF(AND(Headcount!M20&gt;=Inputs!$D$173,Headcount!L20&lt;Inputs!$D$173),Inputs!$D$189,0)</f>
        <v/>
      </c>
      <c r="N25" s="51">
        <f>Headcount!N21*Inputs!$D$188+IF(AND(Headcount!N20&gt;=Inputs!$D$173,Headcount!M20&lt;Inputs!$D$173),Inputs!$D$189,0)</f>
        <v/>
      </c>
      <c r="O25" s="51">
        <f>Headcount!O21*Inputs!$D$188+IF(AND(Headcount!O20&gt;=Inputs!$D$173,Headcount!N20&lt;Inputs!$D$173),Inputs!$D$189,0)</f>
        <v/>
      </c>
      <c r="P25" s="51">
        <f>Headcount!P21*Inputs!$D$188+IF(AND(Headcount!P20&gt;=Inputs!$D$173,Headcount!O20&lt;Inputs!$D$173),Inputs!$D$189,0)</f>
        <v/>
      </c>
      <c r="Q25" s="51">
        <f>Headcount!Q21*Inputs!$D$188+IF(AND(Headcount!Q20&gt;=Inputs!$D$173,Headcount!P20&lt;Inputs!$D$173),Inputs!$D$189,0)</f>
        <v/>
      </c>
      <c r="R25" s="51">
        <f>Headcount!R21*Inputs!$D$188+IF(AND(Headcount!R20&gt;=Inputs!$D$173,Headcount!Q20&lt;Inputs!$D$173),Inputs!$D$189,0)</f>
        <v/>
      </c>
      <c r="S25" s="51">
        <f>Headcount!S21*Inputs!$D$188+IF(AND(Headcount!S20&gt;=Inputs!$D$173,Headcount!R20&lt;Inputs!$D$173),Inputs!$D$189,0)</f>
        <v/>
      </c>
      <c r="T25" s="51">
        <f>Headcount!T21*Inputs!$D$188+IF(AND(Headcount!T20&gt;=Inputs!$D$173,Headcount!S20&lt;Inputs!$D$173),Inputs!$D$189,0)</f>
        <v/>
      </c>
      <c r="U25" s="51">
        <f>Headcount!U21*Inputs!$D$188+IF(AND(Headcount!U20&gt;=Inputs!$D$173,Headcount!T20&lt;Inputs!$D$173),Inputs!$D$189,0)</f>
        <v/>
      </c>
      <c r="V25" s="51">
        <f>Headcount!V21*Inputs!$D$188+IF(AND(Headcount!V20&gt;=Inputs!$D$173,Headcount!U20&lt;Inputs!$D$173),Inputs!$D$189,0)</f>
        <v/>
      </c>
      <c r="W25" s="51">
        <f>Headcount!W21*Inputs!$D$188+IF(AND(Headcount!W20&gt;=Inputs!$D$173,Headcount!V20&lt;Inputs!$D$173),Inputs!$D$189,0)</f>
        <v/>
      </c>
      <c r="X25" s="51">
        <f>Headcount!X21*Inputs!$D$188+IF(AND(Headcount!X20&gt;=Inputs!$D$173,Headcount!W20&lt;Inputs!$D$173),Inputs!$D$189,0)</f>
        <v/>
      </c>
      <c r="Y25" s="51">
        <f>Headcount!Y21*Inputs!$D$188+IF(AND(Headcount!Y20&gt;=Inputs!$D$173,Headcount!X20&lt;Inputs!$D$173),Inputs!$D$189,0)</f>
        <v/>
      </c>
      <c r="Z25" s="51">
        <f>Headcount!Z21*Inputs!$D$188+IF(AND(Headcount!Z20&gt;=Inputs!$D$173,Headcount!Y20&lt;Inputs!$D$173),Inputs!$D$189,0)</f>
        <v/>
      </c>
      <c r="AA25" s="51">
        <f>Headcount!AA21*Inputs!$D$188+IF(AND(Headcount!AA20&gt;=Inputs!$D$173,Headcount!Z20&lt;Inputs!$D$173),Inputs!$D$189,0)</f>
        <v/>
      </c>
      <c r="AB25" s="51">
        <f>Headcount!AB21*Inputs!$D$188+IF(AND(Headcount!AB20&gt;=Inputs!$D$173,Headcount!AA20&lt;Inputs!$D$173),Inputs!$D$189,0)</f>
        <v/>
      </c>
      <c r="AC25" s="51">
        <f>Headcount!AC21*Inputs!$D$188+IF(AND(Headcount!AC20&gt;=Inputs!$D$173,Headcount!AB20&lt;Inputs!$D$173),Inputs!$D$189,0)</f>
        <v/>
      </c>
      <c r="AD25" s="51">
        <f>Headcount!AD21*Inputs!$D$188+IF(AND(Headcount!AD20&gt;=Inputs!$D$173,Headcount!AC20&lt;Inputs!$D$173),Inputs!$D$189,0)</f>
        <v/>
      </c>
      <c r="AE25" s="51">
        <f>Headcount!AE21*Inputs!$D$188+IF(AND(Headcount!AE20&gt;=Inputs!$D$173,Headcount!AD20&lt;Inputs!$D$173),Inputs!$D$189,0)</f>
        <v/>
      </c>
      <c r="AF25" s="51">
        <f>Headcount!AF21*Inputs!$D$188+IF(AND(Headcount!AF20&gt;=Inputs!$D$173,Headcount!AE20&lt;Inputs!$D$173),Inputs!$D$189,0)</f>
        <v/>
      </c>
      <c r="AG25" s="51">
        <f>Headcount!AG21*Inputs!$D$188+IF(AND(Headcount!AG20&gt;=Inputs!$D$173,Headcount!AF20&lt;Inputs!$D$173),Inputs!$D$189,0)</f>
        <v/>
      </c>
      <c r="AH25" s="51">
        <f>Headcount!AH21*Inputs!$D$188+IF(AND(Headcount!AH20&gt;=Inputs!$D$173,Headcount!AG20&lt;Inputs!$D$173),Inputs!$D$189,0)</f>
        <v/>
      </c>
      <c r="AI25" s="51">
        <f>Headcount!AI21*Inputs!$D$188+IF(AND(Headcount!AI20&gt;=Inputs!$D$173,Headcount!AH20&lt;Inputs!$D$173),Inputs!$D$189,0)</f>
        <v/>
      </c>
      <c r="AJ25" s="51">
        <f>Headcount!AJ21*Inputs!$D$188+IF(AND(Headcount!AJ20&gt;=Inputs!$D$173,Headcount!AI20&lt;Inputs!$D$173),Inputs!$D$189,0)</f>
        <v/>
      </c>
      <c r="AK25" s="51">
        <f>Headcount!AK21*Inputs!$D$188+IF(AND(Headcount!AK20&gt;=Inputs!$D$173,Headcount!AJ20&lt;Inputs!$D$173),Inputs!$D$189,0)</f>
        <v/>
      </c>
      <c r="AL25" s="51">
        <f>Headcount!AL21*Inputs!$D$188+IF(AND(Headcount!AL20&gt;=Inputs!$D$173,Headcount!AK20&lt;Inputs!$D$173),Inputs!$D$189,0)</f>
        <v/>
      </c>
      <c r="AM25" s="51">
        <f>Headcount!AM21*Inputs!$D$188+IF(AND(Headcount!AM20&gt;=Inputs!$D$173,Headcount!AL20&lt;Inputs!$D$173),Inputs!$D$189,0)</f>
        <v/>
      </c>
      <c r="AN25" s="51">
        <f>Headcount!AN21*Inputs!$D$188+IF(AND(Headcount!AN20&gt;=Inputs!$D$173,Headcount!AM20&lt;Inputs!$D$173),Inputs!$D$189,0)</f>
        <v/>
      </c>
      <c r="AO25" s="51">
        <f>Headcount!AO21*Inputs!$D$188+IF(AND(Headcount!AO20&gt;=Inputs!$D$173,Headcount!AN20&lt;Inputs!$D$173),Inputs!$D$189,0)</f>
        <v/>
      </c>
      <c r="AP25" s="51">
        <f>Headcount!AP21*Inputs!$D$188+IF(AND(Headcount!AP20&gt;=Inputs!$D$173,Headcount!AO20&lt;Inputs!$D$173),Inputs!$D$189,0)</f>
        <v/>
      </c>
      <c r="AQ25" s="51">
        <f>Headcount!AQ21*Inputs!$D$188+IF(AND(Headcount!AQ20&gt;=Inputs!$D$173,Headcount!AP20&lt;Inputs!$D$173),Inputs!$D$189,0)</f>
        <v/>
      </c>
      <c r="AR25" s="51">
        <f>Headcount!AR21*Inputs!$D$188+IF(AND(Headcount!AR20&gt;=Inputs!$D$173,Headcount!AQ20&lt;Inputs!$D$173),Inputs!$D$189,0)</f>
        <v/>
      </c>
      <c r="AS25" s="51">
        <f>Headcount!AS21*Inputs!$D$188+IF(AND(Headcount!AS20&gt;=Inputs!$D$173,Headcount!AR20&lt;Inputs!$D$173),Inputs!$D$189,0)</f>
        <v/>
      </c>
      <c r="AT25" s="51">
        <f>Headcount!AT21*Inputs!$D$188+IF(AND(Headcount!AT20&gt;=Inputs!$D$173,Headcount!AS20&lt;Inputs!$D$173),Inputs!$D$189,0)</f>
        <v/>
      </c>
      <c r="AU25" s="51">
        <f>Headcount!AU21*Inputs!$D$188+IF(AND(Headcount!AU20&gt;=Inputs!$D$173,Headcount!AT20&lt;Inputs!$D$173),Inputs!$D$189,0)</f>
        <v/>
      </c>
      <c r="AV25" s="51">
        <f>Headcount!AV21*Inputs!$D$188+IF(AND(Headcount!AV20&gt;=Inputs!$D$173,Headcount!AU20&lt;Inputs!$D$173),Inputs!$D$189,0)</f>
        <v/>
      </c>
      <c r="AW25" s="51">
        <f>Headcount!AW21*Inputs!$D$188+IF(AND(Headcount!AW20&gt;=Inputs!$D$173,Headcount!AV20&lt;Inputs!$D$173),Inputs!$D$189,0)</f>
        <v/>
      </c>
      <c r="AX25" s="51">
        <f>Headcount!AX21*Inputs!$D$188+IF(AND(Headcount!AX20&gt;=Inputs!$D$173,Headcount!AW20&lt;Inputs!$D$173),Inputs!$D$189,0)</f>
        <v/>
      </c>
      <c r="AY25" s="51">
        <f>Headcount!AY21*Inputs!$D$188+IF(AND(Headcount!AY20&gt;=Inputs!$D$173,Headcount!AX20&lt;Inputs!$D$173),Inputs!$D$189,0)</f>
        <v/>
      </c>
      <c r="AZ25" s="51">
        <f>Headcount!AZ21*Inputs!$D$188+IF(AND(Headcount!AZ20&gt;=Inputs!$D$173,Headcount!AY20&lt;Inputs!$D$173),Inputs!$D$189,0)</f>
        <v/>
      </c>
      <c r="BA25" s="51">
        <f>Headcount!BA21*Inputs!$D$188+IF(AND(Headcount!BA20&gt;=Inputs!$D$173,Headcount!AZ20&lt;Inputs!$D$173),Inputs!$D$189,0)</f>
        <v/>
      </c>
      <c r="BB25" s="51">
        <f>Headcount!BB21*Inputs!$D$188+IF(AND(Headcount!BB20&gt;=Inputs!$D$173,Headcount!BA20&lt;Inputs!$D$173),Inputs!$D$189,0)</f>
        <v/>
      </c>
      <c r="BC25" s="51">
        <f>Headcount!BC21*Inputs!$D$188+IF(AND(Headcount!BC20&gt;=Inputs!$D$173,Headcount!BB20&lt;Inputs!$D$173),Inputs!$D$189,0)</f>
        <v/>
      </c>
      <c r="BD25" s="51">
        <f>Headcount!BD21*Inputs!$D$188+IF(AND(Headcount!BD20&gt;=Inputs!$D$173,Headcount!BC20&lt;Inputs!$D$173),Inputs!$D$189,0)</f>
        <v/>
      </c>
      <c r="BE25" s="51">
        <f>Headcount!BE21*Inputs!$D$188+IF(AND(Headcount!BE20&gt;=Inputs!$D$173,Headcount!BD20&lt;Inputs!$D$173),Inputs!$D$189,0)</f>
        <v/>
      </c>
      <c r="BF25" s="51">
        <f>Headcount!BF21*Inputs!$D$188+IF(AND(Headcount!BF20&gt;=Inputs!$D$173,Headcount!BE20&lt;Inputs!$D$173),Inputs!$D$189,0)</f>
        <v/>
      </c>
      <c r="BG25" s="51">
        <f>Headcount!BG21*Inputs!$D$188+IF(AND(Headcount!BG20&gt;=Inputs!$D$173,Headcount!BF20&lt;Inputs!$D$173),Inputs!$D$189,0)</f>
        <v/>
      </c>
      <c r="BH25" s="51">
        <f>Headcount!BH21*Inputs!$D$188+IF(AND(Headcount!BH20&gt;=Inputs!$D$173,Headcount!BG20&lt;Inputs!$D$173),Inputs!$D$189,0)</f>
        <v/>
      </c>
      <c r="BI25" s="51">
        <f>Headcount!BI21*Inputs!$D$188+IF(AND(Headcount!BI20&gt;=Inputs!$D$173,Headcount!BH20&lt;Inputs!$D$173),Inputs!$D$189,0)</f>
        <v/>
      </c>
      <c r="BJ25" s="51">
        <f>Headcount!BJ21*Inputs!$D$188+IF(AND(Headcount!BJ20&gt;=Inputs!$D$173,Headcount!BI20&lt;Inputs!$D$173),Inputs!$D$189,0)</f>
        <v/>
      </c>
      <c r="BK25" s="51">
        <f>Headcount!BK21*Inputs!$D$188+IF(AND(Headcount!BK20&gt;=Inputs!$D$173,Headcount!BJ20&lt;Inputs!$D$173),Inputs!$D$189,0)</f>
        <v/>
      </c>
      <c r="BM25" s="91">
        <f>SUM(D25:O25)</f>
        <v/>
      </c>
      <c r="BN25" s="91">
        <f>SUM(P25:AA25)</f>
        <v/>
      </c>
      <c r="BO25" s="91">
        <f>SUM(AB25:AM25)</f>
        <v/>
      </c>
      <c r="BP25" s="91">
        <f>SUM(AN25:AY25)</f>
        <v/>
      </c>
      <c r="BQ25" s="91">
        <f>SUM(AZ25:BK25)</f>
        <v/>
      </c>
    </row>
    <row r="26">
      <c r="B26" s="18" t="inlineStr">
        <is>
          <t xml:space="preserve">    Depreciation and amortisation</t>
        </is>
      </c>
      <c r="C26" s="19" t="inlineStr">
        <is>
          <t>$</t>
        </is>
      </c>
      <c r="D26" s="48">
        <f>SUM(D25:D25)/36</f>
        <v/>
      </c>
      <c r="E26" s="48">
        <f>SUM(D25:E25)/36</f>
        <v/>
      </c>
      <c r="F26" s="48">
        <f>SUM(D25:F25)/36</f>
        <v/>
      </c>
      <c r="G26" s="48">
        <f>SUM(D25:G25)/36</f>
        <v/>
      </c>
      <c r="H26" s="48">
        <f>SUM(D25:H25)/36</f>
        <v/>
      </c>
      <c r="I26" s="48">
        <f>SUM(D25:I25)/36</f>
        <v/>
      </c>
      <c r="J26" s="48">
        <f>SUM(D25:J25)/36</f>
        <v/>
      </c>
      <c r="K26" s="48">
        <f>SUM(D25:K25)/36</f>
        <v/>
      </c>
      <c r="L26" s="48">
        <f>SUM(D25:L25)/36</f>
        <v/>
      </c>
      <c r="M26" s="48">
        <f>SUM(D25:M25)/36</f>
        <v/>
      </c>
      <c r="N26" s="48">
        <f>SUM(D25:N25)/36</f>
        <v/>
      </c>
      <c r="O26" s="48">
        <f>SUM(D25:O25)/36</f>
        <v/>
      </c>
      <c r="P26" s="48">
        <f>SUM(D25:P25)/36</f>
        <v/>
      </c>
      <c r="Q26" s="48">
        <f>SUM(D25:Q25)/36</f>
        <v/>
      </c>
      <c r="R26" s="48">
        <f>SUM(D25:R25)/36</f>
        <v/>
      </c>
      <c r="S26" s="48">
        <f>SUM(D25:S25)/36</f>
        <v/>
      </c>
      <c r="T26" s="48">
        <f>SUM(D25:T25)/36</f>
        <v/>
      </c>
      <c r="U26" s="48">
        <f>SUM(D25:U25)/36</f>
        <v/>
      </c>
      <c r="V26" s="48">
        <f>SUM(D25:V25)/36</f>
        <v/>
      </c>
      <c r="W26" s="48">
        <f>SUM(D25:W25)/36</f>
        <v/>
      </c>
      <c r="X26" s="48">
        <f>SUM(D25:X25)/36</f>
        <v/>
      </c>
      <c r="Y26" s="48">
        <f>SUM(D25:Y25)/36</f>
        <v/>
      </c>
      <c r="Z26" s="48">
        <f>SUM(D25:Z25)/36</f>
        <v/>
      </c>
      <c r="AA26" s="48">
        <f>SUM(D25:AA25)/36</f>
        <v/>
      </c>
      <c r="AB26" s="48">
        <f>SUM(D25:AB25)/36</f>
        <v/>
      </c>
      <c r="AC26" s="48">
        <f>SUM(D25:AC25)/36</f>
        <v/>
      </c>
      <c r="AD26" s="48">
        <f>SUM(D25:AD25)/36</f>
        <v/>
      </c>
      <c r="AE26" s="48">
        <f>SUM(D25:AE25)/36</f>
        <v/>
      </c>
      <c r="AF26" s="48">
        <f>SUM(D25:AF25)/36</f>
        <v/>
      </c>
      <c r="AG26" s="48">
        <f>SUM(D25:AG25)/36</f>
        <v/>
      </c>
      <c r="AH26" s="48">
        <f>SUM(D25:AH25)/36</f>
        <v/>
      </c>
      <c r="AI26" s="48">
        <f>SUM(D25:AI25)/36</f>
        <v/>
      </c>
      <c r="AJ26" s="48">
        <f>SUM(D25:AJ25)/36</f>
        <v/>
      </c>
      <c r="AK26" s="48">
        <f>SUM(D25:AK25)/36</f>
        <v/>
      </c>
      <c r="AL26" s="48">
        <f>SUM(D25:AL25)/36</f>
        <v/>
      </c>
      <c r="AM26" s="48">
        <f>SUM(D25:AM25)/36</f>
        <v/>
      </c>
      <c r="AN26" s="48">
        <f>SUM(E25:AN25)/36</f>
        <v/>
      </c>
      <c r="AO26" s="48">
        <f>SUM(F25:AO25)/36</f>
        <v/>
      </c>
      <c r="AP26" s="48">
        <f>SUM(G25:AP25)/36</f>
        <v/>
      </c>
      <c r="AQ26" s="48">
        <f>SUM(H25:AQ25)/36</f>
        <v/>
      </c>
      <c r="AR26" s="48">
        <f>SUM(I25:AR25)/36</f>
        <v/>
      </c>
      <c r="AS26" s="48">
        <f>SUM(J25:AS25)/36</f>
        <v/>
      </c>
      <c r="AT26" s="48">
        <f>SUM(K25:AT25)/36</f>
        <v/>
      </c>
      <c r="AU26" s="48">
        <f>SUM(L25:AU25)/36</f>
        <v/>
      </c>
      <c r="AV26" s="48">
        <f>SUM(M25:AV25)/36</f>
        <v/>
      </c>
      <c r="AW26" s="48">
        <f>SUM(N25:AW25)/36</f>
        <v/>
      </c>
      <c r="AX26" s="48">
        <f>SUM(O25:AX25)/36</f>
        <v/>
      </c>
      <c r="AY26" s="48">
        <f>SUM(P25:AY25)/36</f>
        <v/>
      </c>
      <c r="AZ26" s="48">
        <f>SUM(Q25:AZ25)/36</f>
        <v/>
      </c>
      <c r="BA26" s="48">
        <f>SUM(R25:BA25)/36</f>
        <v/>
      </c>
      <c r="BB26" s="48">
        <f>SUM(S25:BB25)/36</f>
        <v/>
      </c>
      <c r="BC26" s="48">
        <f>SUM(T25:BC25)/36</f>
        <v/>
      </c>
      <c r="BD26" s="48">
        <f>SUM(U25:BD25)/36</f>
        <v/>
      </c>
      <c r="BE26" s="48">
        <f>SUM(V25:BE25)/36</f>
        <v/>
      </c>
      <c r="BF26" s="48">
        <f>SUM(W25:BF25)/36</f>
        <v/>
      </c>
      <c r="BG26" s="48">
        <f>SUM(X25:BG25)/36</f>
        <v/>
      </c>
      <c r="BH26" s="48">
        <f>SUM(Y25:BH25)/36</f>
        <v/>
      </c>
      <c r="BI26" s="48">
        <f>SUM(Z25:BI25)/36</f>
        <v/>
      </c>
      <c r="BJ26" s="48">
        <f>SUM(AA25:BJ25)/36</f>
        <v/>
      </c>
      <c r="BK26" s="48">
        <f>SUM(AB25:BK25)/36</f>
        <v/>
      </c>
      <c r="BM26" s="91">
        <f>SUM(D26:O26)</f>
        <v/>
      </c>
      <c r="BN26" s="91">
        <f>SUM(P26:AA26)</f>
        <v/>
      </c>
      <c r="BO26" s="91">
        <f>SUM(AB26:AM26)</f>
        <v/>
      </c>
      <c r="BP26" s="91">
        <f>SUM(AN26:AY26)</f>
        <v/>
      </c>
      <c r="BQ26" s="91">
        <f>SUM(AZ26:BK26)</f>
        <v/>
      </c>
    </row>
    <row r="27">
      <c r="B27" s="18" t="inlineStr">
        <is>
          <t xml:space="preserve">    Stock compensation add back</t>
        </is>
      </c>
      <c r="C27" s="19" t="inlineStr">
        <is>
          <t>$</t>
        </is>
      </c>
      <c r="D27" s="51">
        <f>'P&amp;L'!D44</f>
        <v/>
      </c>
      <c r="E27" s="51">
        <f>'P&amp;L'!E44</f>
        <v/>
      </c>
      <c r="F27" s="51">
        <f>'P&amp;L'!F44</f>
        <v/>
      </c>
      <c r="G27" s="51">
        <f>'P&amp;L'!G44</f>
        <v/>
      </c>
      <c r="H27" s="51">
        <f>'P&amp;L'!H44</f>
        <v/>
      </c>
      <c r="I27" s="51">
        <f>'P&amp;L'!I44</f>
        <v/>
      </c>
      <c r="J27" s="51">
        <f>'P&amp;L'!J44</f>
        <v/>
      </c>
      <c r="K27" s="51">
        <f>'P&amp;L'!K44</f>
        <v/>
      </c>
      <c r="L27" s="51">
        <f>'P&amp;L'!L44</f>
        <v/>
      </c>
      <c r="M27" s="51">
        <f>'P&amp;L'!M44</f>
        <v/>
      </c>
      <c r="N27" s="51">
        <f>'P&amp;L'!N44</f>
        <v/>
      </c>
      <c r="O27" s="51">
        <f>'P&amp;L'!O44</f>
        <v/>
      </c>
      <c r="P27" s="51">
        <f>'P&amp;L'!P44</f>
        <v/>
      </c>
      <c r="Q27" s="51">
        <f>'P&amp;L'!Q44</f>
        <v/>
      </c>
      <c r="R27" s="51">
        <f>'P&amp;L'!R44</f>
        <v/>
      </c>
      <c r="S27" s="51">
        <f>'P&amp;L'!S44</f>
        <v/>
      </c>
      <c r="T27" s="51">
        <f>'P&amp;L'!T44</f>
        <v/>
      </c>
      <c r="U27" s="51">
        <f>'P&amp;L'!U44</f>
        <v/>
      </c>
      <c r="V27" s="51">
        <f>'P&amp;L'!V44</f>
        <v/>
      </c>
      <c r="W27" s="51">
        <f>'P&amp;L'!W44</f>
        <v/>
      </c>
      <c r="X27" s="51">
        <f>'P&amp;L'!X44</f>
        <v/>
      </c>
      <c r="Y27" s="51">
        <f>'P&amp;L'!Y44</f>
        <v/>
      </c>
      <c r="Z27" s="51">
        <f>'P&amp;L'!Z44</f>
        <v/>
      </c>
      <c r="AA27" s="51">
        <f>'P&amp;L'!AA44</f>
        <v/>
      </c>
      <c r="AB27" s="51">
        <f>'P&amp;L'!AB44</f>
        <v/>
      </c>
      <c r="AC27" s="51">
        <f>'P&amp;L'!AC44</f>
        <v/>
      </c>
      <c r="AD27" s="51">
        <f>'P&amp;L'!AD44</f>
        <v/>
      </c>
      <c r="AE27" s="51">
        <f>'P&amp;L'!AE44</f>
        <v/>
      </c>
      <c r="AF27" s="51">
        <f>'P&amp;L'!AF44</f>
        <v/>
      </c>
      <c r="AG27" s="51">
        <f>'P&amp;L'!AG44</f>
        <v/>
      </c>
      <c r="AH27" s="51">
        <f>'P&amp;L'!AH44</f>
        <v/>
      </c>
      <c r="AI27" s="51">
        <f>'P&amp;L'!AI44</f>
        <v/>
      </c>
      <c r="AJ27" s="51">
        <f>'P&amp;L'!AJ44</f>
        <v/>
      </c>
      <c r="AK27" s="51">
        <f>'P&amp;L'!AK44</f>
        <v/>
      </c>
      <c r="AL27" s="51">
        <f>'P&amp;L'!AL44</f>
        <v/>
      </c>
      <c r="AM27" s="51">
        <f>'P&amp;L'!AM44</f>
        <v/>
      </c>
      <c r="AN27" s="51">
        <f>'P&amp;L'!AN44</f>
        <v/>
      </c>
      <c r="AO27" s="51">
        <f>'P&amp;L'!AO44</f>
        <v/>
      </c>
      <c r="AP27" s="51">
        <f>'P&amp;L'!AP44</f>
        <v/>
      </c>
      <c r="AQ27" s="51">
        <f>'P&amp;L'!AQ44</f>
        <v/>
      </c>
      <c r="AR27" s="51">
        <f>'P&amp;L'!AR44</f>
        <v/>
      </c>
      <c r="AS27" s="51">
        <f>'P&amp;L'!AS44</f>
        <v/>
      </c>
      <c r="AT27" s="51">
        <f>'P&amp;L'!AT44</f>
        <v/>
      </c>
      <c r="AU27" s="51">
        <f>'P&amp;L'!AU44</f>
        <v/>
      </c>
      <c r="AV27" s="51">
        <f>'P&amp;L'!AV44</f>
        <v/>
      </c>
      <c r="AW27" s="51">
        <f>'P&amp;L'!AW44</f>
        <v/>
      </c>
      <c r="AX27" s="51">
        <f>'P&amp;L'!AX44</f>
        <v/>
      </c>
      <c r="AY27" s="51">
        <f>'P&amp;L'!AY44</f>
        <v/>
      </c>
      <c r="AZ27" s="51">
        <f>'P&amp;L'!AZ44</f>
        <v/>
      </c>
      <c r="BA27" s="51">
        <f>'P&amp;L'!BA44</f>
        <v/>
      </c>
      <c r="BB27" s="51">
        <f>'P&amp;L'!BB44</f>
        <v/>
      </c>
      <c r="BC27" s="51">
        <f>'P&amp;L'!BC44</f>
        <v/>
      </c>
      <c r="BD27" s="51">
        <f>'P&amp;L'!BD44</f>
        <v/>
      </c>
      <c r="BE27" s="51">
        <f>'P&amp;L'!BE44</f>
        <v/>
      </c>
      <c r="BF27" s="51">
        <f>'P&amp;L'!BF44</f>
        <v/>
      </c>
      <c r="BG27" s="51">
        <f>'P&amp;L'!BG44</f>
        <v/>
      </c>
      <c r="BH27" s="51">
        <f>'P&amp;L'!BH44</f>
        <v/>
      </c>
      <c r="BI27" s="51">
        <f>'P&amp;L'!BI44</f>
        <v/>
      </c>
      <c r="BJ27" s="51">
        <f>'P&amp;L'!BJ44</f>
        <v/>
      </c>
      <c r="BK27" s="51">
        <f>'P&amp;L'!BK44</f>
        <v/>
      </c>
      <c r="BM27" s="91">
        <f>SUM(D27:O27)</f>
        <v/>
      </c>
      <c r="BN27" s="91">
        <f>SUM(P27:AA27)</f>
        <v/>
      </c>
      <c r="BO27" s="91">
        <f>SUM(AB27:AM27)</f>
        <v/>
      </c>
      <c r="BP27" s="91">
        <f>SUM(AN27:AY27)</f>
        <v/>
      </c>
      <c r="BQ27" s="91">
        <f>SUM(AZ27:BK27)</f>
        <v/>
      </c>
    </row>
    <row r="28"/>
    <row r="29">
      <c r="B29" s="3" t="inlineStr">
        <is>
          <t>CASH ROLL</t>
        </is>
      </c>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c r="AZ29" s="4" t="n"/>
      <c r="BA29" s="4" t="n"/>
      <c r="BB29" s="4" t="n"/>
      <c r="BC29" s="4" t="n"/>
      <c r="BD29" s="4" t="n"/>
      <c r="BE29" s="4" t="n"/>
      <c r="BF29" s="4" t="n"/>
      <c r="BG29" s="4" t="n"/>
      <c r="BH29" s="4" t="n"/>
      <c r="BI29" s="4" t="n"/>
      <c r="BJ29" s="4" t="n"/>
      <c r="BK29" s="4" t="n"/>
      <c r="BL29" s="4" t="n"/>
      <c r="BM29" s="4" t="n"/>
      <c r="BN29" s="4" t="n"/>
      <c r="BO29" s="4" t="n"/>
      <c r="BP29" s="4" t="n"/>
      <c r="BQ29" s="4" t="n"/>
    </row>
    <row r="30">
      <c r="B30" s="18" t="inlineStr">
        <is>
          <t xml:space="preserve">    Opening cash</t>
        </is>
      </c>
      <c r="C30" s="19" t="inlineStr">
        <is>
          <t>$</t>
        </is>
      </c>
      <c r="D30" s="48">
        <f>Inputs!$D$10</f>
        <v/>
      </c>
      <c r="E30" s="48">
        <f>D34</f>
        <v/>
      </c>
      <c r="F30" s="48">
        <f>E34</f>
        <v/>
      </c>
      <c r="G30" s="48">
        <f>F34</f>
        <v/>
      </c>
      <c r="H30" s="48">
        <f>G34</f>
        <v/>
      </c>
      <c r="I30" s="48">
        <f>H34</f>
        <v/>
      </c>
      <c r="J30" s="48">
        <f>I34</f>
        <v/>
      </c>
      <c r="K30" s="48">
        <f>J34</f>
        <v/>
      </c>
      <c r="L30" s="48">
        <f>K34</f>
        <v/>
      </c>
      <c r="M30" s="48">
        <f>L34</f>
        <v/>
      </c>
      <c r="N30" s="48">
        <f>M34</f>
        <v/>
      </c>
      <c r="O30" s="48">
        <f>N34</f>
        <v/>
      </c>
      <c r="P30" s="48">
        <f>O34</f>
        <v/>
      </c>
      <c r="Q30" s="48">
        <f>P34</f>
        <v/>
      </c>
      <c r="R30" s="48">
        <f>Q34</f>
        <v/>
      </c>
      <c r="S30" s="48">
        <f>R34</f>
        <v/>
      </c>
      <c r="T30" s="48">
        <f>S34</f>
        <v/>
      </c>
      <c r="U30" s="48">
        <f>T34</f>
        <v/>
      </c>
      <c r="V30" s="48">
        <f>U34</f>
        <v/>
      </c>
      <c r="W30" s="48">
        <f>V34</f>
        <v/>
      </c>
      <c r="X30" s="48">
        <f>W34</f>
        <v/>
      </c>
      <c r="Y30" s="48">
        <f>X34</f>
        <v/>
      </c>
      <c r="Z30" s="48">
        <f>Y34</f>
        <v/>
      </c>
      <c r="AA30" s="48">
        <f>Z34</f>
        <v/>
      </c>
      <c r="AB30" s="48">
        <f>AA34</f>
        <v/>
      </c>
      <c r="AC30" s="48">
        <f>AB34</f>
        <v/>
      </c>
      <c r="AD30" s="48">
        <f>AC34</f>
        <v/>
      </c>
      <c r="AE30" s="48">
        <f>AD34</f>
        <v/>
      </c>
      <c r="AF30" s="48">
        <f>AE34</f>
        <v/>
      </c>
      <c r="AG30" s="48">
        <f>AF34</f>
        <v/>
      </c>
      <c r="AH30" s="48">
        <f>AG34</f>
        <v/>
      </c>
      <c r="AI30" s="48">
        <f>AH34</f>
        <v/>
      </c>
      <c r="AJ30" s="48">
        <f>AI34</f>
        <v/>
      </c>
      <c r="AK30" s="48">
        <f>AJ34</f>
        <v/>
      </c>
      <c r="AL30" s="48">
        <f>AK34</f>
        <v/>
      </c>
      <c r="AM30" s="48">
        <f>AL34</f>
        <v/>
      </c>
      <c r="AN30" s="48">
        <f>AM34</f>
        <v/>
      </c>
      <c r="AO30" s="48">
        <f>AN34</f>
        <v/>
      </c>
      <c r="AP30" s="48">
        <f>AO34</f>
        <v/>
      </c>
      <c r="AQ30" s="48">
        <f>AP34</f>
        <v/>
      </c>
      <c r="AR30" s="48">
        <f>AQ34</f>
        <v/>
      </c>
      <c r="AS30" s="48">
        <f>AR34</f>
        <v/>
      </c>
      <c r="AT30" s="48">
        <f>AS34</f>
        <v/>
      </c>
      <c r="AU30" s="48">
        <f>AT34</f>
        <v/>
      </c>
      <c r="AV30" s="48">
        <f>AU34</f>
        <v/>
      </c>
      <c r="AW30" s="48">
        <f>AV34</f>
        <v/>
      </c>
      <c r="AX30" s="48">
        <f>AW34</f>
        <v/>
      </c>
      <c r="AY30" s="48">
        <f>AX34</f>
        <v/>
      </c>
      <c r="AZ30" s="48">
        <f>AY34</f>
        <v/>
      </c>
      <c r="BA30" s="48">
        <f>AZ34</f>
        <v/>
      </c>
      <c r="BB30" s="48">
        <f>BA34</f>
        <v/>
      </c>
      <c r="BC30" s="48">
        <f>BB34</f>
        <v/>
      </c>
      <c r="BD30" s="48">
        <f>BC34</f>
        <v/>
      </c>
      <c r="BE30" s="48">
        <f>BD34</f>
        <v/>
      </c>
      <c r="BF30" s="48">
        <f>BE34</f>
        <v/>
      </c>
      <c r="BG30" s="48">
        <f>BF34</f>
        <v/>
      </c>
      <c r="BH30" s="48">
        <f>BG34</f>
        <v/>
      </c>
      <c r="BI30" s="48">
        <f>BH34</f>
        <v/>
      </c>
      <c r="BJ30" s="48">
        <f>BI34</f>
        <v/>
      </c>
      <c r="BK30" s="48">
        <f>BJ34</f>
        <v/>
      </c>
    </row>
    <row r="31">
      <c r="B31" s="18" t="inlineStr">
        <is>
          <t xml:space="preserve">    Interest income</t>
        </is>
      </c>
      <c r="C31" s="19" t="inlineStr">
        <is>
          <t>$</t>
        </is>
      </c>
      <c r="D31" s="48">
        <f>D30*Inputs!$D$190/12</f>
        <v/>
      </c>
      <c r="E31" s="48">
        <f>E30*Inputs!$D$190/12</f>
        <v/>
      </c>
      <c r="F31" s="48">
        <f>F30*Inputs!$D$190/12</f>
        <v/>
      </c>
      <c r="G31" s="48">
        <f>G30*Inputs!$D$190/12</f>
        <v/>
      </c>
      <c r="H31" s="48">
        <f>H30*Inputs!$D$190/12</f>
        <v/>
      </c>
      <c r="I31" s="48">
        <f>I30*Inputs!$D$190/12</f>
        <v/>
      </c>
      <c r="J31" s="48">
        <f>J30*Inputs!$D$190/12</f>
        <v/>
      </c>
      <c r="K31" s="48">
        <f>K30*Inputs!$D$190/12</f>
        <v/>
      </c>
      <c r="L31" s="48">
        <f>L30*Inputs!$D$190/12</f>
        <v/>
      </c>
      <c r="M31" s="48">
        <f>M30*Inputs!$D$190/12</f>
        <v/>
      </c>
      <c r="N31" s="48">
        <f>N30*Inputs!$D$190/12</f>
        <v/>
      </c>
      <c r="O31" s="48">
        <f>O30*Inputs!$D$190/12</f>
        <v/>
      </c>
      <c r="P31" s="48">
        <f>P30*Inputs!$D$190/12</f>
        <v/>
      </c>
      <c r="Q31" s="48">
        <f>Q30*Inputs!$D$190/12</f>
        <v/>
      </c>
      <c r="R31" s="48">
        <f>R30*Inputs!$D$190/12</f>
        <v/>
      </c>
      <c r="S31" s="48">
        <f>S30*Inputs!$D$190/12</f>
        <v/>
      </c>
      <c r="T31" s="48">
        <f>T30*Inputs!$D$190/12</f>
        <v/>
      </c>
      <c r="U31" s="48">
        <f>U30*Inputs!$D$190/12</f>
        <v/>
      </c>
      <c r="V31" s="48">
        <f>V30*Inputs!$D$190/12</f>
        <v/>
      </c>
      <c r="W31" s="48">
        <f>W30*Inputs!$D$190/12</f>
        <v/>
      </c>
      <c r="X31" s="48">
        <f>X30*Inputs!$D$190/12</f>
        <v/>
      </c>
      <c r="Y31" s="48">
        <f>Y30*Inputs!$D$190/12</f>
        <v/>
      </c>
      <c r="Z31" s="48">
        <f>Z30*Inputs!$D$190/12</f>
        <v/>
      </c>
      <c r="AA31" s="48">
        <f>AA30*Inputs!$D$190/12</f>
        <v/>
      </c>
      <c r="AB31" s="48">
        <f>AB30*Inputs!$D$190/12</f>
        <v/>
      </c>
      <c r="AC31" s="48">
        <f>AC30*Inputs!$D$190/12</f>
        <v/>
      </c>
      <c r="AD31" s="48">
        <f>AD30*Inputs!$D$190/12</f>
        <v/>
      </c>
      <c r="AE31" s="48">
        <f>AE30*Inputs!$D$190/12</f>
        <v/>
      </c>
      <c r="AF31" s="48">
        <f>AF30*Inputs!$D$190/12</f>
        <v/>
      </c>
      <c r="AG31" s="48">
        <f>AG30*Inputs!$D$190/12</f>
        <v/>
      </c>
      <c r="AH31" s="48">
        <f>AH30*Inputs!$D$190/12</f>
        <v/>
      </c>
      <c r="AI31" s="48">
        <f>AI30*Inputs!$D$190/12</f>
        <v/>
      </c>
      <c r="AJ31" s="48">
        <f>AJ30*Inputs!$D$190/12</f>
        <v/>
      </c>
      <c r="AK31" s="48">
        <f>AK30*Inputs!$D$190/12</f>
        <v/>
      </c>
      <c r="AL31" s="48">
        <f>AL30*Inputs!$D$190/12</f>
        <v/>
      </c>
      <c r="AM31" s="48">
        <f>AM30*Inputs!$D$190/12</f>
        <v/>
      </c>
      <c r="AN31" s="48">
        <f>AN30*Inputs!$D$190/12</f>
        <v/>
      </c>
      <c r="AO31" s="48">
        <f>AO30*Inputs!$D$190/12</f>
        <v/>
      </c>
      <c r="AP31" s="48">
        <f>AP30*Inputs!$D$190/12</f>
        <v/>
      </c>
      <c r="AQ31" s="48">
        <f>AQ30*Inputs!$D$190/12</f>
        <v/>
      </c>
      <c r="AR31" s="48">
        <f>AR30*Inputs!$D$190/12</f>
        <v/>
      </c>
      <c r="AS31" s="48">
        <f>AS30*Inputs!$D$190/12</f>
        <v/>
      </c>
      <c r="AT31" s="48">
        <f>AT30*Inputs!$D$190/12</f>
        <v/>
      </c>
      <c r="AU31" s="48">
        <f>AU30*Inputs!$D$190/12</f>
        <v/>
      </c>
      <c r="AV31" s="48">
        <f>AV30*Inputs!$D$190/12</f>
        <v/>
      </c>
      <c r="AW31" s="48">
        <f>AW30*Inputs!$D$190/12</f>
        <v/>
      </c>
      <c r="AX31" s="48">
        <f>AX30*Inputs!$D$190/12</f>
        <v/>
      </c>
      <c r="AY31" s="48">
        <f>AY30*Inputs!$D$190/12</f>
        <v/>
      </c>
      <c r="AZ31" s="48">
        <f>AZ30*Inputs!$D$190/12</f>
        <v/>
      </c>
      <c r="BA31" s="48">
        <f>BA30*Inputs!$D$190/12</f>
        <v/>
      </c>
      <c r="BB31" s="48">
        <f>BB30*Inputs!$D$190/12</f>
        <v/>
      </c>
      <c r="BC31" s="48">
        <f>BC30*Inputs!$D$190/12</f>
        <v/>
      </c>
      <c r="BD31" s="48">
        <f>BD30*Inputs!$D$190/12</f>
        <v/>
      </c>
      <c r="BE31" s="48">
        <f>BE30*Inputs!$D$190/12</f>
        <v/>
      </c>
      <c r="BF31" s="48">
        <f>BF30*Inputs!$D$190/12</f>
        <v/>
      </c>
      <c r="BG31" s="48">
        <f>BG30*Inputs!$D$190/12</f>
        <v/>
      </c>
      <c r="BH31" s="48">
        <f>BH30*Inputs!$D$190/12</f>
        <v/>
      </c>
      <c r="BI31" s="48">
        <f>BI30*Inputs!$D$190/12</f>
        <v/>
      </c>
      <c r="BJ31" s="48">
        <f>BJ30*Inputs!$D$190/12</f>
        <v/>
      </c>
      <c r="BK31" s="48">
        <f>BK30*Inputs!$D$190/12</f>
        <v/>
      </c>
      <c r="BM31" s="91">
        <f>SUM(D31:O31)</f>
        <v/>
      </c>
      <c r="BN31" s="91">
        <f>SUM(P31:AA31)</f>
        <v/>
      </c>
      <c r="BO31" s="91">
        <f>SUM(AB31:AM31)</f>
        <v/>
      </c>
      <c r="BP31" s="91">
        <f>SUM(AN31:AY31)</f>
        <v/>
      </c>
      <c r="BQ31" s="91">
        <f>SUM(AZ31:BK31)</f>
        <v/>
      </c>
    </row>
    <row r="32">
      <c r="B32" s="18" t="inlineStr">
        <is>
          <t xml:space="preserve">    Net income</t>
        </is>
      </c>
      <c r="C32" s="19" t="inlineStr">
        <is>
          <t>$</t>
        </is>
      </c>
      <c r="D32" s="51">
        <f>'P&amp;L'!D43-'P&amp;L'!D44-D26+D31</f>
        <v/>
      </c>
      <c r="E32" s="51">
        <f>'P&amp;L'!E43-'P&amp;L'!E44-E26+E31</f>
        <v/>
      </c>
      <c r="F32" s="51">
        <f>'P&amp;L'!F43-'P&amp;L'!F44-F26+F31</f>
        <v/>
      </c>
      <c r="G32" s="51">
        <f>'P&amp;L'!G43-'P&amp;L'!G44-G26+G31</f>
        <v/>
      </c>
      <c r="H32" s="51">
        <f>'P&amp;L'!H43-'P&amp;L'!H44-H26+H31</f>
        <v/>
      </c>
      <c r="I32" s="51">
        <f>'P&amp;L'!I43-'P&amp;L'!I44-I26+I31</f>
        <v/>
      </c>
      <c r="J32" s="51">
        <f>'P&amp;L'!J43-'P&amp;L'!J44-J26+J31</f>
        <v/>
      </c>
      <c r="K32" s="51">
        <f>'P&amp;L'!K43-'P&amp;L'!K44-K26+K31</f>
        <v/>
      </c>
      <c r="L32" s="51">
        <f>'P&amp;L'!L43-'P&amp;L'!L44-L26+L31</f>
        <v/>
      </c>
      <c r="M32" s="51">
        <f>'P&amp;L'!M43-'P&amp;L'!M44-M26+M31</f>
        <v/>
      </c>
      <c r="N32" s="51">
        <f>'P&amp;L'!N43-'P&amp;L'!N44-N26+N31</f>
        <v/>
      </c>
      <c r="O32" s="51">
        <f>'P&amp;L'!O43-'P&amp;L'!O44-O26+O31</f>
        <v/>
      </c>
      <c r="P32" s="51">
        <f>'P&amp;L'!P43-'P&amp;L'!P44-P26+P31</f>
        <v/>
      </c>
      <c r="Q32" s="51">
        <f>'P&amp;L'!Q43-'P&amp;L'!Q44-Q26+Q31</f>
        <v/>
      </c>
      <c r="R32" s="51">
        <f>'P&amp;L'!R43-'P&amp;L'!R44-R26+R31</f>
        <v/>
      </c>
      <c r="S32" s="51">
        <f>'P&amp;L'!S43-'P&amp;L'!S44-S26+S31</f>
        <v/>
      </c>
      <c r="T32" s="51">
        <f>'P&amp;L'!T43-'P&amp;L'!T44-T26+T31</f>
        <v/>
      </c>
      <c r="U32" s="51">
        <f>'P&amp;L'!U43-'P&amp;L'!U44-U26+U31</f>
        <v/>
      </c>
      <c r="V32" s="51">
        <f>'P&amp;L'!V43-'P&amp;L'!V44-V26+V31</f>
        <v/>
      </c>
      <c r="W32" s="51">
        <f>'P&amp;L'!W43-'P&amp;L'!W44-W26+W31</f>
        <v/>
      </c>
      <c r="X32" s="51">
        <f>'P&amp;L'!X43-'P&amp;L'!X44-X26+X31</f>
        <v/>
      </c>
      <c r="Y32" s="51">
        <f>'P&amp;L'!Y43-'P&amp;L'!Y44-Y26+Y31</f>
        <v/>
      </c>
      <c r="Z32" s="51">
        <f>'P&amp;L'!Z43-'P&amp;L'!Z44-Z26+Z31</f>
        <v/>
      </c>
      <c r="AA32" s="51">
        <f>'P&amp;L'!AA43-'P&amp;L'!AA44-AA26+AA31</f>
        <v/>
      </c>
      <c r="AB32" s="51">
        <f>'P&amp;L'!AB43-'P&amp;L'!AB44-AB26+AB31</f>
        <v/>
      </c>
      <c r="AC32" s="51">
        <f>'P&amp;L'!AC43-'P&amp;L'!AC44-AC26+AC31</f>
        <v/>
      </c>
      <c r="AD32" s="51">
        <f>'P&amp;L'!AD43-'P&amp;L'!AD44-AD26+AD31</f>
        <v/>
      </c>
      <c r="AE32" s="51">
        <f>'P&amp;L'!AE43-'P&amp;L'!AE44-AE26+AE31</f>
        <v/>
      </c>
      <c r="AF32" s="51">
        <f>'P&amp;L'!AF43-'P&amp;L'!AF44-AF26+AF31</f>
        <v/>
      </c>
      <c r="AG32" s="51">
        <f>'P&amp;L'!AG43-'P&amp;L'!AG44-AG26+AG31</f>
        <v/>
      </c>
      <c r="AH32" s="51">
        <f>'P&amp;L'!AH43-'P&amp;L'!AH44-AH26+AH31</f>
        <v/>
      </c>
      <c r="AI32" s="51">
        <f>'P&amp;L'!AI43-'P&amp;L'!AI44-AI26+AI31</f>
        <v/>
      </c>
      <c r="AJ32" s="51">
        <f>'P&amp;L'!AJ43-'P&amp;L'!AJ44-AJ26+AJ31</f>
        <v/>
      </c>
      <c r="AK32" s="51">
        <f>'P&amp;L'!AK43-'P&amp;L'!AK44-AK26+AK31</f>
        <v/>
      </c>
      <c r="AL32" s="51">
        <f>'P&amp;L'!AL43-'P&amp;L'!AL44-AL26+AL31</f>
        <v/>
      </c>
      <c r="AM32" s="51">
        <f>'P&amp;L'!AM43-'P&amp;L'!AM44-AM26+AM31</f>
        <v/>
      </c>
      <c r="AN32" s="51">
        <f>'P&amp;L'!AN43-'P&amp;L'!AN44-AN26+AN31</f>
        <v/>
      </c>
      <c r="AO32" s="51">
        <f>'P&amp;L'!AO43-'P&amp;L'!AO44-AO26+AO31</f>
        <v/>
      </c>
      <c r="AP32" s="51">
        <f>'P&amp;L'!AP43-'P&amp;L'!AP44-AP26+AP31</f>
        <v/>
      </c>
      <c r="AQ32" s="51">
        <f>'P&amp;L'!AQ43-'P&amp;L'!AQ44-AQ26+AQ31</f>
        <v/>
      </c>
      <c r="AR32" s="51">
        <f>'P&amp;L'!AR43-'P&amp;L'!AR44-AR26+AR31</f>
        <v/>
      </c>
      <c r="AS32" s="51">
        <f>'P&amp;L'!AS43-'P&amp;L'!AS44-AS26+AS31</f>
        <v/>
      </c>
      <c r="AT32" s="51">
        <f>'P&amp;L'!AT43-'P&amp;L'!AT44-AT26+AT31</f>
        <v/>
      </c>
      <c r="AU32" s="51">
        <f>'P&amp;L'!AU43-'P&amp;L'!AU44-AU26+AU31</f>
        <v/>
      </c>
      <c r="AV32" s="51">
        <f>'P&amp;L'!AV43-'P&amp;L'!AV44-AV26+AV31</f>
        <v/>
      </c>
      <c r="AW32" s="51">
        <f>'P&amp;L'!AW43-'P&amp;L'!AW44-AW26+AW31</f>
        <v/>
      </c>
      <c r="AX32" s="51">
        <f>'P&amp;L'!AX43-'P&amp;L'!AX44-AX26+AX31</f>
        <v/>
      </c>
      <c r="AY32" s="51">
        <f>'P&amp;L'!AY43-'P&amp;L'!AY44-AY26+AY31</f>
        <v/>
      </c>
      <c r="AZ32" s="51">
        <f>'P&amp;L'!AZ43-'P&amp;L'!AZ44-AZ26+AZ31</f>
        <v/>
      </c>
      <c r="BA32" s="51">
        <f>'P&amp;L'!BA43-'P&amp;L'!BA44-BA26+BA31</f>
        <v/>
      </c>
      <c r="BB32" s="51">
        <f>'P&amp;L'!BB43-'P&amp;L'!BB44-BB26+BB31</f>
        <v/>
      </c>
      <c r="BC32" s="51">
        <f>'P&amp;L'!BC43-'P&amp;L'!BC44-BC26+BC31</f>
        <v/>
      </c>
      <c r="BD32" s="51">
        <f>'P&amp;L'!BD43-'P&amp;L'!BD44-BD26+BD31</f>
        <v/>
      </c>
      <c r="BE32" s="51">
        <f>'P&amp;L'!BE43-'P&amp;L'!BE44-BE26+BE31</f>
        <v/>
      </c>
      <c r="BF32" s="51">
        <f>'P&amp;L'!BF43-'P&amp;L'!BF44-BF26+BF31</f>
        <v/>
      </c>
      <c r="BG32" s="51">
        <f>'P&amp;L'!BG43-'P&amp;L'!BG44-BG26+BG31</f>
        <v/>
      </c>
      <c r="BH32" s="51">
        <f>'P&amp;L'!BH43-'P&amp;L'!BH44-BH26+BH31</f>
        <v/>
      </c>
      <c r="BI32" s="51">
        <f>'P&amp;L'!BI43-'P&amp;L'!BI44-BI26+BI31</f>
        <v/>
      </c>
      <c r="BJ32" s="51">
        <f>'P&amp;L'!BJ43-'P&amp;L'!BJ44-BJ26+BJ31</f>
        <v/>
      </c>
      <c r="BK32" s="51">
        <f>'P&amp;L'!BK43-'P&amp;L'!BK44-BK26+BK31</f>
        <v/>
      </c>
      <c r="BM32" s="91">
        <f>SUM(D32:O32)</f>
        <v/>
      </c>
      <c r="BN32" s="91">
        <f>SUM(P32:AA32)</f>
        <v/>
      </c>
      <c r="BO32" s="91">
        <f>SUM(AB32:AM32)</f>
        <v/>
      </c>
      <c r="BP32" s="91">
        <f>SUM(AN32:AY32)</f>
        <v/>
      </c>
      <c r="BQ32" s="91">
        <f>SUM(AZ32:BK32)</f>
        <v/>
      </c>
    </row>
    <row r="33">
      <c r="B33" s="29" t="inlineStr">
        <is>
          <t xml:space="preserve">    Free cash flow</t>
        </is>
      </c>
      <c r="C33" s="19" t="inlineStr">
        <is>
          <t>$</t>
        </is>
      </c>
      <c r="D33" s="46">
        <f>D32+D27+D26-D19+D12+D21-D22-D25</f>
        <v/>
      </c>
      <c r="E33" s="46">
        <f>E32+E27+E26-E19+E12+E21-E22-E25</f>
        <v/>
      </c>
      <c r="F33" s="46">
        <f>F32+F27+F26-F19+F12+F21-F22-F25</f>
        <v/>
      </c>
      <c r="G33" s="46">
        <f>G32+G27+G26-G19+G12+G21-G22-G25</f>
        <v/>
      </c>
      <c r="H33" s="46">
        <f>H32+H27+H26-H19+H12+H21-H22-H25</f>
        <v/>
      </c>
      <c r="I33" s="46">
        <f>I32+I27+I26-I19+I12+I21-I22-I25</f>
        <v/>
      </c>
      <c r="J33" s="46">
        <f>J32+J27+J26-J19+J12+J21-J22-J25</f>
        <v/>
      </c>
      <c r="K33" s="46">
        <f>K32+K27+K26-K19+K12+K21-K22-K25</f>
        <v/>
      </c>
      <c r="L33" s="46">
        <f>L32+L27+L26-L19+L12+L21-L22-L25</f>
        <v/>
      </c>
      <c r="M33" s="46">
        <f>M32+M27+M26-M19+M12+M21-M22-M25</f>
        <v/>
      </c>
      <c r="N33" s="46">
        <f>N32+N27+N26-N19+N12+N21-N22-N25</f>
        <v/>
      </c>
      <c r="O33" s="46">
        <f>O32+O27+O26-O19+O12+O21-O22-O25</f>
        <v/>
      </c>
      <c r="P33" s="46">
        <f>P32+P27+P26-P19+P12+P21-P22-P25</f>
        <v/>
      </c>
      <c r="Q33" s="46">
        <f>Q32+Q27+Q26-Q19+Q12+Q21-Q22-Q25</f>
        <v/>
      </c>
      <c r="R33" s="46">
        <f>R32+R27+R26-R19+R12+R21-R22-R25</f>
        <v/>
      </c>
      <c r="S33" s="46">
        <f>S32+S27+S26-S19+S12+S21-S22-S25</f>
        <v/>
      </c>
      <c r="T33" s="46">
        <f>T32+T27+T26-T19+T12+T21-T22-T25</f>
        <v/>
      </c>
      <c r="U33" s="46">
        <f>U32+U27+U26-U19+U12+U21-U22-U25</f>
        <v/>
      </c>
      <c r="V33" s="46">
        <f>V32+V27+V26-V19+V12+V21-V22-V25</f>
        <v/>
      </c>
      <c r="W33" s="46">
        <f>W32+W27+W26-W19+W12+W21-W22-W25</f>
        <v/>
      </c>
      <c r="X33" s="46">
        <f>X32+X27+X26-X19+X12+X21-X22-X25</f>
        <v/>
      </c>
      <c r="Y33" s="46">
        <f>Y32+Y27+Y26-Y19+Y12+Y21-Y22-Y25</f>
        <v/>
      </c>
      <c r="Z33" s="46">
        <f>Z32+Z27+Z26-Z19+Z12+Z21-Z22-Z25</f>
        <v/>
      </c>
      <c r="AA33" s="46">
        <f>AA32+AA27+AA26-AA19+AA12+AA21-AA22-AA25</f>
        <v/>
      </c>
      <c r="AB33" s="46">
        <f>AB32+AB27+AB26-AB19+AB12+AB21-AB22-AB25</f>
        <v/>
      </c>
      <c r="AC33" s="46">
        <f>AC32+AC27+AC26-AC19+AC12+AC21-AC22-AC25</f>
        <v/>
      </c>
      <c r="AD33" s="46">
        <f>AD32+AD27+AD26-AD19+AD12+AD21-AD22-AD25</f>
        <v/>
      </c>
      <c r="AE33" s="46">
        <f>AE32+AE27+AE26-AE19+AE12+AE21-AE22-AE25</f>
        <v/>
      </c>
      <c r="AF33" s="46">
        <f>AF32+AF27+AF26-AF19+AF12+AF21-AF22-AF25</f>
        <v/>
      </c>
      <c r="AG33" s="46">
        <f>AG32+AG27+AG26-AG19+AG12+AG21-AG22-AG25</f>
        <v/>
      </c>
      <c r="AH33" s="46">
        <f>AH32+AH27+AH26-AH19+AH12+AH21-AH22-AH25</f>
        <v/>
      </c>
      <c r="AI33" s="46">
        <f>AI32+AI27+AI26-AI19+AI12+AI21-AI22-AI25</f>
        <v/>
      </c>
      <c r="AJ33" s="46">
        <f>AJ32+AJ27+AJ26-AJ19+AJ12+AJ21-AJ22-AJ25</f>
        <v/>
      </c>
      <c r="AK33" s="46">
        <f>AK32+AK27+AK26-AK19+AK12+AK21-AK22-AK25</f>
        <v/>
      </c>
      <c r="AL33" s="46">
        <f>AL32+AL27+AL26-AL19+AL12+AL21-AL22-AL25</f>
        <v/>
      </c>
      <c r="AM33" s="46">
        <f>AM32+AM27+AM26-AM19+AM12+AM21-AM22-AM25</f>
        <v/>
      </c>
      <c r="AN33" s="46">
        <f>AN32+AN27+AN26-AN19+AN12+AN21-AN22-AN25</f>
        <v/>
      </c>
      <c r="AO33" s="46">
        <f>AO32+AO27+AO26-AO19+AO12+AO21-AO22-AO25</f>
        <v/>
      </c>
      <c r="AP33" s="46">
        <f>AP32+AP27+AP26-AP19+AP12+AP21-AP22-AP25</f>
        <v/>
      </c>
      <c r="AQ33" s="46">
        <f>AQ32+AQ27+AQ26-AQ19+AQ12+AQ21-AQ22-AQ25</f>
        <v/>
      </c>
      <c r="AR33" s="46">
        <f>AR32+AR27+AR26-AR19+AR12+AR21-AR22-AR25</f>
        <v/>
      </c>
      <c r="AS33" s="46">
        <f>AS32+AS27+AS26-AS19+AS12+AS21-AS22-AS25</f>
        <v/>
      </c>
      <c r="AT33" s="46">
        <f>AT32+AT27+AT26-AT19+AT12+AT21-AT22-AT25</f>
        <v/>
      </c>
      <c r="AU33" s="46">
        <f>AU32+AU27+AU26-AU19+AU12+AU21-AU22-AU25</f>
        <v/>
      </c>
      <c r="AV33" s="46">
        <f>AV32+AV27+AV26-AV19+AV12+AV21-AV22-AV25</f>
        <v/>
      </c>
      <c r="AW33" s="46">
        <f>AW32+AW27+AW26-AW19+AW12+AW21-AW22-AW25</f>
        <v/>
      </c>
      <c r="AX33" s="46">
        <f>AX32+AX27+AX26-AX19+AX12+AX21-AX22-AX25</f>
        <v/>
      </c>
      <c r="AY33" s="46">
        <f>AY32+AY27+AY26-AY19+AY12+AY21-AY22-AY25</f>
        <v/>
      </c>
      <c r="AZ33" s="46">
        <f>AZ32+AZ27+AZ26-AZ19+AZ12+AZ21-AZ22-AZ25</f>
        <v/>
      </c>
      <c r="BA33" s="46">
        <f>BA32+BA27+BA26-BA19+BA12+BA21-BA22-BA25</f>
        <v/>
      </c>
      <c r="BB33" s="46">
        <f>BB32+BB27+BB26-BB19+BB12+BB21-BB22-BB25</f>
        <v/>
      </c>
      <c r="BC33" s="46">
        <f>BC32+BC27+BC26-BC19+BC12+BC21-BC22-BC25</f>
        <v/>
      </c>
      <c r="BD33" s="46">
        <f>BD32+BD27+BD26-BD19+BD12+BD21-BD22-BD25</f>
        <v/>
      </c>
      <c r="BE33" s="46">
        <f>BE32+BE27+BE26-BE19+BE12+BE21-BE22-BE25</f>
        <v/>
      </c>
      <c r="BF33" s="46">
        <f>BF32+BF27+BF26-BF19+BF12+BF21-BF22-BF25</f>
        <v/>
      </c>
      <c r="BG33" s="46">
        <f>BG32+BG27+BG26-BG19+BG12+BG21-BG22-BG25</f>
        <v/>
      </c>
      <c r="BH33" s="46">
        <f>BH32+BH27+BH26-BH19+BH12+BH21-BH22-BH25</f>
        <v/>
      </c>
      <c r="BI33" s="46">
        <f>BI32+BI27+BI26-BI19+BI12+BI21-BI22-BI25</f>
        <v/>
      </c>
      <c r="BJ33" s="46">
        <f>BJ32+BJ27+BJ26-BJ19+BJ12+BJ21-BJ22-BJ25</f>
        <v/>
      </c>
      <c r="BK33" s="46">
        <f>BK32+BK27+BK26-BK19+BK12+BK21-BK22-BK25</f>
        <v/>
      </c>
      <c r="BM33" s="91">
        <f>SUM(D33:O33)</f>
        <v/>
      </c>
      <c r="BN33" s="91">
        <f>SUM(P33:AA33)</f>
        <v/>
      </c>
      <c r="BO33" s="91">
        <f>SUM(AB33:AM33)</f>
        <v/>
      </c>
      <c r="BP33" s="91">
        <f>SUM(AN33:AY33)</f>
        <v/>
      </c>
      <c r="BQ33" s="91">
        <f>SUM(AZ33:BK33)</f>
        <v/>
      </c>
    </row>
    <row r="34">
      <c r="B34" s="29" t="inlineStr">
        <is>
          <t xml:space="preserve">    Closing cash</t>
        </is>
      </c>
      <c r="C34" s="19" t="inlineStr">
        <is>
          <t>$</t>
        </is>
      </c>
      <c r="D34" s="46">
        <f>D30+D33</f>
        <v/>
      </c>
      <c r="E34" s="46">
        <f>E30+E33</f>
        <v/>
      </c>
      <c r="F34" s="46">
        <f>F30+F33</f>
        <v/>
      </c>
      <c r="G34" s="46">
        <f>G30+G33</f>
        <v/>
      </c>
      <c r="H34" s="46">
        <f>H30+H33</f>
        <v/>
      </c>
      <c r="I34" s="46">
        <f>I30+I33</f>
        <v/>
      </c>
      <c r="J34" s="46">
        <f>J30+J33</f>
        <v/>
      </c>
      <c r="K34" s="46">
        <f>K30+K33</f>
        <v/>
      </c>
      <c r="L34" s="46">
        <f>L30+L33</f>
        <v/>
      </c>
      <c r="M34" s="46">
        <f>M30+M33</f>
        <v/>
      </c>
      <c r="N34" s="46">
        <f>N30+N33</f>
        <v/>
      </c>
      <c r="O34" s="46">
        <f>O30+O33</f>
        <v/>
      </c>
      <c r="P34" s="46">
        <f>P30+P33</f>
        <v/>
      </c>
      <c r="Q34" s="46">
        <f>Q30+Q33</f>
        <v/>
      </c>
      <c r="R34" s="46">
        <f>R30+R33</f>
        <v/>
      </c>
      <c r="S34" s="46">
        <f>S30+S33</f>
        <v/>
      </c>
      <c r="T34" s="46">
        <f>T30+T33</f>
        <v/>
      </c>
      <c r="U34" s="46">
        <f>U30+U33</f>
        <v/>
      </c>
      <c r="V34" s="46">
        <f>V30+V33</f>
        <v/>
      </c>
      <c r="W34" s="46">
        <f>W30+W33</f>
        <v/>
      </c>
      <c r="X34" s="46">
        <f>X30+X33</f>
        <v/>
      </c>
      <c r="Y34" s="46">
        <f>Y30+Y33</f>
        <v/>
      </c>
      <c r="Z34" s="46">
        <f>Z30+Z33</f>
        <v/>
      </c>
      <c r="AA34" s="46">
        <f>AA30+AA33</f>
        <v/>
      </c>
      <c r="AB34" s="46">
        <f>AB30+AB33</f>
        <v/>
      </c>
      <c r="AC34" s="46">
        <f>AC30+AC33</f>
        <v/>
      </c>
      <c r="AD34" s="46">
        <f>AD30+AD33</f>
        <v/>
      </c>
      <c r="AE34" s="46">
        <f>AE30+AE33</f>
        <v/>
      </c>
      <c r="AF34" s="46">
        <f>AF30+AF33</f>
        <v/>
      </c>
      <c r="AG34" s="46">
        <f>AG30+AG33</f>
        <v/>
      </c>
      <c r="AH34" s="46">
        <f>AH30+AH33</f>
        <v/>
      </c>
      <c r="AI34" s="46">
        <f>AI30+AI33</f>
        <v/>
      </c>
      <c r="AJ34" s="46">
        <f>AJ30+AJ33</f>
        <v/>
      </c>
      <c r="AK34" s="46">
        <f>AK30+AK33</f>
        <v/>
      </c>
      <c r="AL34" s="46">
        <f>AL30+AL33</f>
        <v/>
      </c>
      <c r="AM34" s="46">
        <f>AM30+AM33</f>
        <v/>
      </c>
      <c r="AN34" s="46">
        <f>AN30+AN33</f>
        <v/>
      </c>
      <c r="AO34" s="46">
        <f>AO30+AO33</f>
        <v/>
      </c>
      <c r="AP34" s="46">
        <f>AP30+AP33</f>
        <v/>
      </c>
      <c r="AQ34" s="46">
        <f>AQ30+AQ33</f>
        <v/>
      </c>
      <c r="AR34" s="46">
        <f>AR30+AR33</f>
        <v/>
      </c>
      <c r="AS34" s="46">
        <f>AS30+AS33</f>
        <v/>
      </c>
      <c r="AT34" s="46">
        <f>AT30+AT33</f>
        <v/>
      </c>
      <c r="AU34" s="46">
        <f>AU30+AU33</f>
        <v/>
      </c>
      <c r="AV34" s="46">
        <f>AV30+AV33</f>
        <v/>
      </c>
      <c r="AW34" s="46">
        <f>AW30+AW33</f>
        <v/>
      </c>
      <c r="AX34" s="46">
        <f>AX30+AX33</f>
        <v/>
      </c>
      <c r="AY34" s="46">
        <f>AY30+AY33</f>
        <v/>
      </c>
      <c r="AZ34" s="46">
        <f>AZ30+AZ33</f>
        <v/>
      </c>
      <c r="BA34" s="46">
        <f>BA30+BA33</f>
        <v/>
      </c>
      <c r="BB34" s="46">
        <f>BB30+BB33</f>
        <v/>
      </c>
      <c r="BC34" s="46">
        <f>BC30+BC33</f>
        <v/>
      </c>
      <c r="BD34" s="46">
        <f>BD30+BD33</f>
        <v/>
      </c>
      <c r="BE34" s="46">
        <f>BE30+BE33</f>
        <v/>
      </c>
      <c r="BF34" s="46">
        <f>BF30+BF33</f>
        <v/>
      </c>
      <c r="BG34" s="46">
        <f>BG30+BG33</f>
        <v/>
      </c>
      <c r="BH34" s="46">
        <f>BH30+BH33</f>
        <v/>
      </c>
      <c r="BI34" s="46">
        <f>BI30+BI33</f>
        <v/>
      </c>
      <c r="BJ34" s="46">
        <f>BJ30+BJ33</f>
        <v/>
      </c>
      <c r="BK34" s="46">
        <f>BK30+BK33</f>
        <v/>
      </c>
      <c r="BM34" s="47">
        <f>O34</f>
        <v/>
      </c>
      <c r="BN34" s="47">
        <f>AA34</f>
        <v/>
      </c>
      <c r="BO34" s="47">
        <f>AM34</f>
        <v/>
      </c>
      <c r="BP34" s="47">
        <f>AY34</f>
        <v/>
      </c>
      <c r="BQ34" s="47">
        <f>BK34</f>
        <v/>
      </c>
    </row>
    <row r="35">
      <c r="B35" s="18" t="inlineStr">
        <is>
          <t xml:space="preserve">    Headroom over minimum balance</t>
        </is>
      </c>
      <c r="C35" s="19" t="inlineStr">
        <is>
          <t>$</t>
        </is>
      </c>
      <c r="D35" s="48">
        <f>D34-Inputs!$D$12</f>
        <v/>
      </c>
      <c r="E35" s="48">
        <f>E34-Inputs!$D$12</f>
        <v/>
      </c>
      <c r="F35" s="48">
        <f>F34-Inputs!$D$12</f>
        <v/>
      </c>
      <c r="G35" s="48">
        <f>G34-Inputs!$D$12</f>
        <v/>
      </c>
      <c r="H35" s="48">
        <f>H34-Inputs!$D$12</f>
        <v/>
      </c>
      <c r="I35" s="48">
        <f>I34-Inputs!$D$12</f>
        <v/>
      </c>
      <c r="J35" s="48">
        <f>J34-Inputs!$D$12</f>
        <v/>
      </c>
      <c r="K35" s="48">
        <f>K34-Inputs!$D$12</f>
        <v/>
      </c>
      <c r="L35" s="48">
        <f>L34-Inputs!$D$12</f>
        <v/>
      </c>
      <c r="M35" s="48">
        <f>M34-Inputs!$D$12</f>
        <v/>
      </c>
      <c r="N35" s="48">
        <f>N34-Inputs!$D$12</f>
        <v/>
      </c>
      <c r="O35" s="48">
        <f>O34-Inputs!$D$12</f>
        <v/>
      </c>
      <c r="P35" s="48">
        <f>P34-Inputs!$D$12</f>
        <v/>
      </c>
      <c r="Q35" s="48">
        <f>Q34-Inputs!$D$12</f>
        <v/>
      </c>
      <c r="R35" s="48">
        <f>R34-Inputs!$D$12</f>
        <v/>
      </c>
      <c r="S35" s="48">
        <f>S34-Inputs!$D$12</f>
        <v/>
      </c>
      <c r="T35" s="48">
        <f>T34-Inputs!$D$12</f>
        <v/>
      </c>
      <c r="U35" s="48">
        <f>U34-Inputs!$D$12</f>
        <v/>
      </c>
      <c r="V35" s="48">
        <f>V34-Inputs!$D$12</f>
        <v/>
      </c>
      <c r="W35" s="48">
        <f>W34-Inputs!$D$12</f>
        <v/>
      </c>
      <c r="X35" s="48">
        <f>X34-Inputs!$D$12</f>
        <v/>
      </c>
      <c r="Y35" s="48">
        <f>Y34-Inputs!$D$12</f>
        <v/>
      </c>
      <c r="Z35" s="48">
        <f>Z34-Inputs!$D$12</f>
        <v/>
      </c>
      <c r="AA35" s="48">
        <f>AA34-Inputs!$D$12</f>
        <v/>
      </c>
      <c r="AB35" s="48">
        <f>AB34-Inputs!$D$12</f>
        <v/>
      </c>
      <c r="AC35" s="48">
        <f>AC34-Inputs!$D$12</f>
        <v/>
      </c>
      <c r="AD35" s="48">
        <f>AD34-Inputs!$D$12</f>
        <v/>
      </c>
      <c r="AE35" s="48">
        <f>AE34-Inputs!$D$12</f>
        <v/>
      </c>
      <c r="AF35" s="48">
        <f>AF34-Inputs!$D$12</f>
        <v/>
      </c>
      <c r="AG35" s="48">
        <f>AG34-Inputs!$D$12</f>
        <v/>
      </c>
      <c r="AH35" s="48">
        <f>AH34-Inputs!$D$12</f>
        <v/>
      </c>
      <c r="AI35" s="48">
        <f>AI34-Inputs!$D$12</f>
        <v/>
      </c>
      <c r="AJ35" s="48">
        <f>AJ34-Inputs!$D$12</f>
        <v/>
      </c>
      <c r="AK35" s="48">
        <f>AK34-Inputs!$D$12</f>
        <v/>
      </c>
      <c r="AL35" s="48">
        <f>AL34-Inputs!$D$12</f>
        <v/>
      </c>
      <c r="AM35" s="48">
        <f>AM34-Inputs!$D$12</f>
        <v/>
      </c>
      <c r="AN35" s="48">
        <f>AN34-Inputs!$D$12</f>
        <v/>
      </c>
      <c r="AO35" s="48">
        <f>AO34-Inputs!$D$12</f>
        <v/>
      </c>
      <c r="AP35" s="48">
        <f>AP34-Inputs!$D$12</f>
        <v/>
      </c>
      <c r="AQ35" s="48">
        <f>AQ34-Inputs!$D$12</f>
        <v/>
      </c>
      <c r="AR35" s="48">
        <f>AR34-Inputs!$D$12</f>
        <v/>
      </c>
      <c r="AS35" s="48">
        <f>AS34-Inputs!$D$12</f>
        <v/>
      </c>
      <c r="AT35" s="48">
        <f>AT34-Inputs!$D$12</f>
        <v/>
      </c>
      <c r="AU35" s="48">
        <f>AU34-Inputs!$D$12</f>
        <v/>
      </c>
      <c r="AV35" s="48">
        <f>AV34-Inputs!$D$12</f>
        <v/>
      </c>
      <c r="AW35" s="48">
        <f>AW34-Inputs!$D$12</f>
        <v/>
      </c>
      <c r="AX35" s="48">
        <f>AX34-Inputs!$D$12</f>
        <v/>
      </c>
      <c r="AY35" s="48">
        <f>AY34-Inputs!$D$12</f>
        <v/>
      </c>
      <c r="AZ35" s="48">
        <f>AZ34-Inputs!$D$12</f>
        <v/>
      </c>
      <c r="BA35" s="48">
        <f>BA34-Inputs!$D$12</f>
        <v/>
      </c>
      <c r="BB35" s="48">
        <f>BB34-Inputs!$D$12</f>
        <v/>
      </c>
      <c r="BC35" s="48">
        <f>BC34-Inputs!$D$12</f>
        <v/>
      </c>
      <c r="BD35" s="48">
        <f>BD34-Inputs!$D$12</f>
        <v/>
      </c>
      <c r="BE35" s="48">
        <f>BE34-Inputs!$D$12</f>
        <v/>
      </c>
      <c r="BF35" s="48">
        <f>BF34-Inputs!$D$12</f>
        <v/>
      </c>
      <c r="BG35" s="48">
        <f>BG34-Inputs!$D$12</f>
        <v/>
      </c>
      <c r="BH35" s="48">
        <f>BH34-Inputs!$D$12</f>
        <v/>
      </c>
      <c r="BI35" s="48">
        <f>BI34-Inputs!$D$12</f>
        <v/>
      </c>
      <c r="BJ35" s="48">
        <f>BJ34-Inputs!$D$12</f>
        <v/>
      </c>
      <c r="BK35" s="48">
        <f>BK34-Inputs!$D$12</f>
        <v/>
      </c>
      <c r="BM35" s="47">
        <f>O35</f>
        <v/>
      </c>
      <c r="BN35" s="47">
        <f>AA35</f>
        <v/>
      </c>
      <c r="BO35" s="47">
        <f>AM35</f>
        <v/>
      </c>
      <c r="BP35" s="47">
        <f>AY35</f>
        <v/>
      </c>
      <c r="BQ35" s="47">
        <f>BK35</f>
        <v/>
      </c>
    </row>
  </sheetData>
  <conditionalFormatting sqref="D35:BK35">
    <cfRule type="cellIs" priority="1" operator="lessThan" dxfId="0">
      <formula>0</formula>
    </cfRule>
  </conditionalFormatting>
  <pageMargins left="0.75" right="0.75" top="1" bottom="1" header="0.5" footer="0.5"/>
</worksheet>
</file>

<file path=xl/worksheets/sheet9.xml><?xml version="1.0" encoding="utf-8"?>
<worksheet xmlns="http://schemas.openxmlformats.org/spreadsheetml/2006/main">
  <sheetPr>
    <tabColor rgb="FF7030A0"/>
    <outlinePr summaryBelow="1" summaryRight="1"/>
    <pageSetUpPr/>
  </sheetPr>
  <dimension ref="A1:BQ38"/>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outlineLevelRow="1"/>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Key Performance Indicators and Runway</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RETENTION</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29" t="inlineStr">
        <is>
          <t xml:space="preserve">    Net revenue retention, trailing twelve months</t>
        </is>
      </c>
      <c r="C10" s="19" t="inlineStr">
        <is>
          <t>%</t>
        </is>
      </c>
      <c r="D10" s="60">
        <f>""</f>
        <v/>
      </c>
      <c r="E10" s="60">
        <f>""</f>
        <v/>
      </c>
      <c r="F10" s="60">
        <f>""</f>
        <v/>
      </c>
      <c r="G10" s="60">
        <f>""</f>
        <v/>
      </c>
      <c r="H10" s="60">
        <f>""</f>
        <v/>
      </c>
      <c r="I10" s="60">
        <f>""</f>
        <v/>
      </c>
      <c r="J10" s="60">
        <f>""</f>
        <v/>
      </c>
      <c r="K10" s="60">
        <f>""</f>
        <v/>
      </c>
      <c r="L10" s="60">
        <f>""</f>
        <v/>
      </c>
      <c r="M10" s="60">
        <f>""</f>
        <v/>
      </c>
      <c r="N10" s="60">
        <f>""</f>
        <v/>
      </c>
      <c r="O10" s="60">
        <f>""</f>
        <v/>
      </c>
      <c r="P10" s="60">
        <f>(SUM('Rev-Cohorts'!P18:P29)+SUM('Rev-Cohorts'!P31:P31))/(SUM('Rev-Cohorts'!D18:D29)+SUM('Rev-Cohorts'!D31:D31))</f>
        <v/>
      </c>
      <c r="Q10" s="60">
        <f>(SUM('Rev-Cohorts'!Q18:Q29)+SUM('Rev-Cohorts'!Q31:Q32))/(SUM('Rev-Cohorts'!E18:E29)+SUM('Rev-Cohorts'!E31:E32))</f>
        <v/>
      </c>
      <c r="R10" s="60">
        <f>(SUM('Rev-Cohorts'!R18:R29)+SUM('Rev-Cohorts'!R31:R33))/(SUM('Rev-Cohorts'!F18:F29)+SUM('Rev-Cohorts'!F31:F33))</f>
        <v/>
      </c>
      <c r="S10" s="60">
        <f>(SUM('Rev-Cohorts'!S18:S29)+SUM('Rev-Cohorts'!S31:S34))/(SUM('Rev-Cohorts'!G18:G29)+SUM('Rev-Cohorts'!G31:G34))</f>
        <v/>
      </c>
      <c r="T10" s="60">
        <f>(SUM('Rev-Cohorts'!T18:T29)+SUM('Rev-Cohorts'!T31:T35))/(SUM('Rev-Cohorts'!H18:H29)+SUM('Rev-Cohorts'!H31:H35))</f>
        <v/>
      </c>
      <c r="U10" s="60">
        <f>(SUM('Rev-Cohorts'!U18:U29)+SUM('Rev-Cohorts'!U31:U36))/(SUM('Rev-Cohorts'!I18:I29)+SUM('Rev-Cohorts'!I31:I36))</f>
        <v/>
      </c>
      <c r="V10" s="60">
        <f>(SUM('Rev-Cohorts'!V18:V29)+SUM('Rev-Cohorts'!V31:V37))/(SUM('Rev-Cohorts'!J18:J29)+SUM('Rev-Cohorts'!J31:J37))</f>
        <v/>
      </c>
      <c r="W10" s="60">
        <f>(SUM('Rev-Cohorts'!W18:W29)+SUM('Rev-Cohorts'!W31:W38))/(SUM('Rev-Cohorts'!K18:K29)+SUM('Rev-Cohorts'!K31:K38))</f>
        <v/>
      </c>
      <c r="X10" s="60">
        <f>(SUM('Rev-Cohorts'!X18:X29)+SUM('Rev-Cohorts'!X31:X39))/(SUM('Rev-Cohorts'!L18:L29)+SUM('Rev-Cohorts'!L31:L39))</f>
        <v/>
      </c>
      <c r="Y10" s="60">
        <f>(SUM('Rev-Cohorts'!Y18:Y29)+SUM('Rev-Cohorts'!Y31:Y40))/(SUM('Rev-Cohorts'!M18:M29)+SUM('Rev-Cohorts'!M31:M40))</f>
        <v/>
      </c>
      <c r="Z10" s="60">
        <f>(SUM('Rev-Cohorts'!Z18:Z29)+SUM('Rev-Cohorts'!Z31:Z41))/(SUM('Rev-Cohorts'!N18:N29)+SUM('Rev-Cohorts'!N31:N41))</f>
        <v/>
      </c>
      <c r="AA10" s="60">
        <f>(SUM('Rev-Cohorts'!AA18:AA29)+SUM('Rev-Cohorts'!AA31:AA42))/(SUM('Rev-Cohorts'!O18:O29)+SUM('Rev-Cohorts'!O31:O42))</f>
        <v/>
      </c>
      <c r="AB10" s="60">
        <f>(SUM('Rev-Cohorts'!AB18:AB29)+SUM('Rev-Cohorts'!AB31:AB43))/(SUM('Rev-Cohorts'!P18:P29)+SUM('Rev-Cohorts'!P31:P43))</f>
        <v/>
      </c>
      <c r="AC10" s="60">
        <f>(SUM('Rev-Cohorts'!AC18:AC29)+SUM('Rev-Cohorts'!AC31:AC44))/(SUM('Rev-Cohorts'!Q18:Q29)+SUM('Rev-Cohorts'!Q31:Q44))</f>
        <v/>
      </c>
      <c r="AD10" s="60">
        <f>(SUM('Rev-Cohorts'!AD18:AD29)+SUM('Rev-Cohorts'!AD31:AD45))/(SUM('Rev-Cohorts'!R18:R29)+SUM('Rev-Cohorts'!R31:R45))</f>
        <v/>
      </c>
      <c r="AE10" s="60">
        <f>(SUM('Rev-Cohorts'!AE18:AE29)+SUM('Rev-Cohorts'!AE31:AE46))/(SUM('Rev-Cohorts'!S18:S29)+SUM('Rev-Cohorts'!S31:S46))</f>
        <v/>
      </c>
      <c r="AF10" s="60">
        <f>(SUM('Rev-Cohorts'!AF18:AF29)+SUM('Rev-Cohorts'!AF31:AF47))/(SUM('Rev-Cohorts'!T18:T29)+SUM('Rev-Cohorts'!T31:T47))</f>
        <v/>
      </c>
      <c r="AG10" s="60">
        <f>(SUM('Rev-Cohorts'!AG18:AG29)+SUM('Rev-Cohorts'!AG31:AG48))/(SUM('Rev-Cohorts'!U18:U29)+SUM('Rev-Cohorts'!U31:U48))</f>
        <v/>
      </c>
      <c r="AH10" s="60">
        <f>(SUM('Rev-Cohorts'!AH18:AH29)+SUM('Rev-Cohorts'!AH31:AH49))/(SUM('Rev-Cohorts'!V18:V29)+SUM('Rev-Cohorts'!V31:V49))</f>
        <v/>
      </c>
      <c r="AI10" s="60">
        <f>(SUM('Rev-Cohorts'!AI18:AI29)+SUM('Rev-Cohorts'!AI31:AI50))/(SUM('Rev-Cohorts'!W18:W29)+SUM('Rev-Cohorts'!W31:W50))</f>
        <v/>
      </c>
      <c r="AJ10" s="60">
        <f>(SUM('Rev-Cohorts'!AJ18:AJ29)+SUM('Rev-Cohorts'!AJ31:AJ51))/(SUM('Rev-Cohorts'!X18:X29)+SUM('Rev-Cohorts'!X31:X51))</f>
        <v/>
      </c>
      <c r="AK10" s="60">
        <f>(SUM('Rev-Cohorts'!AK18:AK29)+SUM('Rev-Cohorts'!AK31:AK52))/(SUM('Rev-Cohorts'!Y18:Y29)+SUM('Rev-Cohorts'!Y31:Y52))</f>
        <v/>
      </c>
      <c r="AL10" s="60">
        <f>(SUM('Rev-Cohorts'!AL18:AL29)+SUM('Rev-Cohorts'!AL31:AL53))/(SUM('Rev-Cohorts'!Z18:Z29)+SUM('Rev-Cohorts'!Z31:Z53))</f>
        <v/>
      </c>
      <c r="AM10" s="60">
        <f>(SUM('Rev-Cohorts'!AM18:AM29)+SUM('Rev-Cohorts'!AM31:AM54))/(SUM('Rev-Cohorts'!AA18:AA29)+SUM('Rev-Cohorts'!AA31:AA54))</f>
        <v/>
      </c>
      <c r="AN10" s="60">
        <f>(SUM('Rev-Cohorts'!AN18:AN29)+SUM('Rev-Cohorts'!AN31:AN55))/(SUM('Rev-Cohorts'!AB18:AB29)+SUM('Rev-Cohorts'!AB31:AB55))</f>
        <v/>
      </c>
      <c r="AO10" s="60">
        <f>(SUM('Rev-Cohorts'!AO18:AO29)+SUM('Rev-Cohorts'!AO31:AO56))/(SUM('Rev-Cohorts'!AC18:AC29)+SUM('Rev-Cohorts'!AC31:AC56))</f>
        <v/>
      </c>
      <c r="AP10" s="60">
        <f>(SUM('Rev-Cohorts'!AP18:AP29)+SUM('Rev-Cohorts'!AP31:AP57))/(SUM('Rev-Cohorts'!AD18:AD29)+SUM('Rev-Cohorts'!AD31:AD57))</f>
        <v/>
      </c>
      <c r="AQ10" s="60">
        <f>(SUM('Rev-Cohorts'!AQ18:AQ29)+SUM('Rev-Cohorts'!AQ31:AQ58))/(SUM('Rev-Cohorts'!AE18:AE29)+SUM('Rev-Cohorts'!AE31:AE58))</f>
        <v/>
      </c>
      <c r="AR10" s="60">
        <f>(SUM('Rev-Cohorts'!AR18:AR29)+SUM('Rev-Cohorts'!AR31:AR59))/(SUM('Rev-Cohorts'!AF18:AF29)+SUM('Rev-Cohorts'!AF31:AF59))</f>
        <v/>
      </c>
      <c r="AS10" s="60">
        <f>(SUM('Rev-Cohorts'!AS18:AS29)+SUM('Rev-Cohorts'!AS31:AS60))/(SUM('Rev-Cohorts'!AG18:AG29)+SUM('Rev-Cohorts'!AG31:AG60))</f>
        <v/>
      </c>
      <c r="AT10" s="60">
        <f>(SUM('Rev-Cohorts'!AT18:AT29)+SUM('Rev-Cohorts'!AT31:AT61))/(SUM('Rev-Cohorts'!AH18:AH29)+SUM('Rev-Cohorts'!AH31:AH61))</f>
        <v/>
      </c>
      <c r="AU10" s="60">
        <f>(SUM('Rev-Cohorts'!AU18:AU29)+SUM('Rev-Cohorts'!AU31:AU62))/(SUM('Rev-Cohorts'!AI18:AI29)+SUM('Rev-Cohorts'!AI31:AI62))</f>
        <v/>
      </c>
      <c r="AV10" s="60">
        <f>(SUM('Rev-Cohorts'!AV18:AV29)+SUM('Rev-Cohorts'!AV31:AV63))/(SUM('Rev-Cohorts'!AJ18:AJ29)+SUM('Rev-Cohorts'!AJ31:AJ63))</f>
        <v/>
      </c>
      <c r="AW10" s="60">
        <f>(SUM('Rev-Cohorts'!AW18:AW29)+SUM('Rev-Cohorts'!AW31:AW64))/(SUM('Rev-Cohorts'!AK18:AK29)+SUM('Rev-Cohorts'!AK31:AK64))</f>
        <v/>
      </c>
      <c r="AX10" s="60">
        <f>(SUM('Rev-Cohorts'!AX18:AX29)+SUM('Rev-Cohorts'!AX31:AX65))/(SUM('Rev-Cohorts'!AL18:AL29)+SUM('Rev-Cohorts'!AL31:AL65))</f>
        <v/>
      </c>
      <c r="AY10" s="60">
        <f>(SUM('Rev-Cohorts'!AY18:AY29)+SUM('Rev-Cohorts'!AY31:AY66))/(SUM('Rev-Cohorts'!AM18:AM29)+SUM('Rev-Cohorts'!AM31:AM66))</f>
        <v/>
      </c>
      <c r="AZ10" s="60">
        <f>(SUM('Rev-Cohorts'!AZ18:AZ29)+SUM('Rev-Cohorts'!AZ31:AZ67))/(SUM('Rev-Cohorts'!AN18:AN29)+SUM('Rev-Cohorts'!AN31:AN67))</f>
        <v/>
      </c>
      <c r="BA10" s="60">
        <f>(SUM('Rev-Cohorts'!BA18:BA29)+SUM('Rev-Cohorts'!BA31:BA68))/(SUM('Rev-Cohorts'!AO18:AO29)+SUM('Rev-Cohorts'!AO31:AO68))</f>
        <v/>
      </c>
      <c r="BB10" s="60">
        <f>(SUM('Rev-Cohorts'!BB18:BB29)+SUM('Rev-Cohorts'!BB31:BB69))/(SUM('Rev-Cohorts'!AP18:AP29)+SUM('Rev-Cohorts'!AP31:AP69))</f>
        <v/>
      </c>
      <c r="BC10" s="60">
        <f>(SUM('Rev-Cohorts'!BC18:BC29)+SUM('Rev-Cohorts'!BC31:BC70))/(SUM('Rev-Cohorts'!AQ18:AQ29)+SUM('Rev-Cohorts'!AQ31:AQ70))</f>
        <v/>
      </c>
      <c r="BD10" s="60">
        <f>(SUM('Rev-Cohorts'!BD18:BD29)+SUM('Rev-Cohorts'!BD31:BD71))/(SUM('Rev-Cohorts'!AR18:AR29)+SUM('Rev-Cohorts'!AR31:AR71))</f>
        <v/>
      </c>
      <c r="BE10" s="60">
        <f>(SUM('Rev-Cohorts'!BE18:BE29)+SUM('Rev-Cohorts'!BE31:BE72))/(SUM('Rev-Cohorts'!AS18:AS29)+SUM('Rev-Cohorts'!AS31:AS72))</f>
        <v/>
      </c>
      <c r="BF10" s="60">
        <f>(SUM('Rev-Cohorts'!BF18:BF29)+SUM('Rev-Cohorts'!BF31:BF73))/(SUM('Rev-Cohorts'!AT18:AT29)+SUM('Rev-Cohorts'!AT31:AT73))</f>
        <v/>
      </c>
      <c r="BG10" s="60">
        <f>(SUM('Rev-Cohorts'!BG18:BG29)+SUM('Rev-Cohorts'!BG31:BG74))/(SUM('Rev-Cohorts'!AU18:AU29)+SUM('Rev-Cohorts'!AU31:AU74))</f>
        <v/>
      </c>
      <c r="BH10" s="60">
        <f>(SUM('Rev-Cohorts'!BH18:BH29)+SUM('Rev-Cohorts'!BH31:BH75))/(SUM('Rev-Cohorts'!AV18:AV29)+SUM('Rev-Cohorts'!AV31:AV75))</f>
        <v/>
      </c>
      <c r="BI10" s="60">
        <f>(SUM('Rev-Cohorts'!BI18:BI29)+SUM('Rev-Cohorts'!BI31:BI76))/(SUM('Rev-Cohorts'!AW18:AW29)+SUM('Rev-Cohorts'!AW31:AW76))</f>
        <v/>
      </c>
      <c r="BJ10" s="60">
        <f>(SUM('Rev-Cohorts'!BJ18:BJ29)+SUM('Rev-Cohorts'!BJ31:BJ77))/(SUM('Rev-Cohorts'!AX18:AX29)+SUM('Rev-Cohorts'!AX31:AX77))</f>
        <v/>
      </c>
      <c r="BK10" s="60">
        <f>(SUM('Rev-Cohorts'!BK18:BK29)+SUM('Rev-Cohorts'!BK31:BK78))/(SUM('Rev-Cohorts'!AY18:AY29)+SUM('Rev-Cohorts'!AY31:AY78))</f>
        <v/>
      </c>
      <c r="BM10" s="59">
        <f>O10</f>
        <v/>
      </c>
      <c r="BN10" s="59">
        <f>AA10</f>
        <v/>
      </c>
      <c r="BO10" s="59">
        <f>AM10</f>
        <v/>
      </c>
      <c r="BP10" s="59">
        <f>AY10</f>
        <v/>
      </c>
      <c r="BQ10" s="59">
        <f>BK10</f>
        <v/>
      </c>
    </row>
    <row r="11">
      <c r="B11" s="29" t="inlineStr">
        <is>
          <t xml:space="preserve">    Gross revenue retention, trailing twelve months</t>
        </is>
      </c>
      <c r="C11" s="19" t="inlineStr">
        <is>
          <t>%</t>
        </is>
      </c>
      <c r="D11" s="60">
        <f>""</f>
        <v/>
      </c>
      <c r="E11" s="60">
        <f>""</f>
        <v/>
      </c>
      <c r="F11" s="60">
        <f>""</f>
        <v/>
      </c>
      <c r="G11" s="60">
        <f>""</f>
        <v/>
      </c>
      <c r="H11" s="60">
        <f>""</f>
        <v/>
      </c>
      <c r="I11" s="60">
        <f>""</f>
        <v/>
      </c>
      <c r="J11" s="60">
        <f>""</f>
        <v/>
      </c>
      <c r="K11" s="60">
        <f>""</f>
        <v/>
      </c>
      <c r="L11" s="60">
        <f>""</f>
        <v/>
      </c>
      <c r="M11" s="60">
        <f>""</f>
        <v/>
      </c>
      <c r="N11" s="60">
        <f>""</f>
        <v/>
      </c>
      <c r="O11" s="60">
        <f>""</f>
        <v/>
      </c>
      <c r="P11" s="60">
        <f>1+SUM('Rev-ARR Bridge'!E13:P13)/'Rev-ARR Bridge'!D26</f>
        <v/>
      </c>
      <c r="Q11" s="60">
        <f>1+SUM('Rev-ARR Bridge'!F13:Q13)/'Rev-ARR Bridge'!E26</f>
        <v/>
      </c>
      <c r="R11" s="60">
        <f>1+SUM('Rev-ARR Bridge'!G13:R13)/'Rev-ARR Bridge'!F26</f>
        <v/>
      </c>
      <c r="S11" s="60">
        <f>1+SUM('Rev-ARR Bridge'!H13:S13)/'Rev-ARR Bridge'!G26</f>
        <v/>
      </c>
      <c r="T11" s="60">
        <f>1+SUM('Rev-ARR Bridge'!I13:T13)/'Rev-ARR Bridge'!H26</f>
        <v/>
      </c>
      <c r="U11" s="60">
        <f>1+SUM('Rev-ARR Bridge'!J13:U13)/'Rev-ARR Bridge'!I26</f>
        <v/>
      </c>
      <c r="V11" s="60">
        <f>1+SUM('Rev-ARR Bridge'!K13:V13)/'Rev-ARR Bridge'!J26</f>
        <v/>
      </c>
      <c r="W11" s="60">
        <f>1+SUM('Rev-ARR Bridge'!L13:W13)/'Rev-ARR Bridge'!K26</f>
        <v/>
      </c>
      <c r="X11" s="60">
        <f>1+SUM('Rev-ARR Bridge'!M13:X13)/'Rev-ARR Bridge'!L26</f>
        <v/>
      </c>
      <c r="Y11" s="60">
        <f>1+SUM('Rev-ARR Bridge'!N13:Y13)/'Rev-ARR Bridge'!M26</f>
        <v/>
      </c>
      <c r="Z11" s="60">
        <f>1+SUM('Rev-ARR Bridge'!O13:Z13)/'Rev-ARR Bridge'!N26</f>
        <v/>
      </c>
      <c r="AA11" s="60">
        <f>1+SUM('Rev-ARR Bridge'!P13:AA13)/'Rev-ARR Bridge'!O26</f>
        <v/>
      </c>
      <c r="AB11" s="60">
        <f>1+SUM('Rev-ARR Bridge'!Q13:AB13)/'Rev-ARR Bridge'!P26</f>
        <v/>
      </c>
      <c r="AC11" s="60">
        <f>1+SUM('Rev-ARR Bridge'!R13:AC13)/'Rev-ARR Bridge'!Q26</f>
        <v/>
      </c>
      <c r="AD11" s="60">
        <f>1+SUM('Rev-ARR Bridge'!S13:AD13)/'Rev-ARR Bridge'!R26</f>
        <v/>
      </c>
      <c r="AE11" s="60">
        <f>1+SUM('Rev-ARR Bridge'!T13:AE13)/'Rev-ARR Bridge'!S26</f>
        <v/>
      </c>
      <c r="AF11" s="60">
        <f>1+SUM('Rev-ARR Bridge'!U13:AF13)/'Rev-ARR Bridge'!T26</f>
        <v/>
      </c>
      <c r="AG11" s="60">
        <f>1+SUM('Rev-ARR Bridge'!V13:AG13)/'Rev-ARR Bridge'!U26</f>
        <v/>
      </c>
      <c r="AH11" s="60">
        <f>1+SUM('Rev-ARR Bridge'!W13:AH13)/'Rev-ARR Bridge'!V26</f>
        <v/>
      </c>
      <c r="AI11" s="60">
        <f>1+SUM('Rev-ARR Bridge'!X13:AI13)/'Rev-ARR Bridge'!W26</f>
        <v/>
      </c>
      <c r="AJ11" s="60">
        <f>1+SUM('Rev-ARR Bridge'!Y13:AJ13)/'Rev-ARR Bridge'!X26</f>
        <v/>
      </c>
      <c r="AK11" s="60">
        <f>1+SUM('Rev-ARR Bridge'!Z13:AK13)/'Rev-ARR Bridge'!Y26</f>
        <v/>
      </c>
      <c r="AL11" s="60">
        <f>1+SUM('Rev-ARR Bridge'!AA13:AL13)/'Rev-ARR Bridge'!Z26</f>
        <v/>
      </c>
      <c r="AM11" s="60">
        <f>1+SUM('Rev-ARR Bridge'!AB13:AM13)/'Rev-ARR Bridge'!AA26</f>
        <v/>
      </c>
      <c r="AN11" s="60">
        <f>1+SUM('Rev-ARR Bridge'!AC13:AN13)/'Rev-ARR Bridge'!AB26</f>
        <v/>
      </c>
      <c r="AO11" s="60">
        <f>1+SUM('Rev-ARR Bridge'!AD13:AO13)/'Rev-ARR Bridge'!AC26</f>
        <v/>
      </c>
      <c r="AP11" s="60">
        <f>1+SUM('Rev-ARR Bridge'!AE13:AP13)/'Rev-ARR Bridge'!AD26</f>
        <v/>
      </c>
      <c r="AQ11" s="60">
        <f>1+SUM('Rev-ARR Bridge'!AF13:AQ13)/'Rev-ARR Bridge'!AE26</f>
        <v/>
      </c>
      <c r="AR11" s="60">
        <f>1+SUM('Rev-ARR Bridge'!AG13:AR13)/'Rev-ARR Bridge'!AF26</f>
        <v/>
      </c>
      <c r="AS11" s="60">
        <f>1+SUM('Rev-ARR Bridge'!AH13:AS13)/'Rev-ARR Bridge'!AG26</f>
        <v/>
      </c>
      <c r="AT11" s="60">
        <f>1+SUM('Rev-ARR Bridge'!AI13:AT13)/'Rev-ARR Bridge'!AH26</f>
        <v/>
      </c>
      <c r="AU11" s="60">
        <f>1+SUM('Rev-ARR Bridge'!AJ13:AU13)/'Rev-ARR Bridge'!AI26</f>
        <v/>
      </c>
      <c r="AV11" s="60">
        <f>1+SUM('Rev-ARR Bridge'!AK13:AV13)/'Rev-ARR Bridge'!AJ26</f>
        <v/>
      </c>
      <c r="AW11" s="60">
        <f>1+SUM('Rev-ARR Bridge'!AL13:AW13)/'Rev-ARR Bridge'!AK26</f>
        <v/>
      </c>
      <c r="AX11" s="60">
        <f>1+SUM('Rev-ARR Bridge'!AM13:AX13)/'Rev-ARR Bridge'!AL26</f>
        <v/>
      </c>
      <c r="AY11" s="60">
        <f>1+SUM('Rev-ARR Bridge'!AN13:AY13)/'Rev-ARR Bridge'!AM26</f>
        <v/>
      </c>
      <c r="AZ11" s="60">
        <f>1+SUM('Rev-ARR Bridge'!AO13:AZ13)/'Rev-ARR Bridge'!AN26</f>
        <v/>
      </c>
      <c r="BA11" s="60">
        <f>1+SUM('Rev-ARR Bridge'!AP13:BA13)/'Rev-ARR Bridge'!AO26</f>
        <v/>
      </c>
      <c r="BB11" s="60">
        <f>1+SUM('Rev-ARR Bridge'!AQ13:BB13)/'Rev-ARR Bridge'!AP26</f>
        <v/>
      </c>
      <c r="BC11" s="60">
        <f>1+SUM('Rev-ARR Bridge'!AR13:BC13)/'Rev-ARR Bridge'!AQ26</f>
        <v/>
      </c>
      <c r="BD11" s="60">
        <f>1+SUM('Rev-ARR Bridge'!AS13:BD13)/'Rev-ARR Bridge'!AR26</f>
        <v/>
      </c>
      <c r="BE11" s="60">
        <f>1+SUM('Rev-ARR Bridge'!AT13:BE13)/'Rev-ARR Bridge'!AS26</f>
        <v/>
      </c>
      <c r="BF11" s="60">
        <f>1+SUM('Rev-ARR Bridge'!AU13:BF13)/'Rev-ARR Bridge'!AT26</f>
        <v/>
      </c>
      <c r="BG11" s="60">
        <f>1+SUM('Rev-ARR Bridge'!AV13:BG13)/'Rev-ARR Bridge'!AU26</f>
        <v/>
      </c>
      <c r="BH11" s="60">
        <f>1+SUM('Rev-ARR Bridge'!AW13:BH13)/'Rev-ARR Bridge'!AV26</f>
        <v/>
      </c>
      <c r="BI11" s="60">
        <f>1+SUM('Rev-ARR Bridge'!AX13:BI13)/'Rev-ARR Bridge'!AW26</f>
        <v/>
      </c>
      <c r="BJ11" s="60">
        <f>1+SUM('Rev-ARR Bridge'!AY13:BJ13)/'Rev-ARR Bridge'!AX26</f>
        <v/>
      </c>
      <c r="BK11" s="60">
        <f>1+SUM('Rev-ARR Bridge'!AZ13:BK13)/'Rev-ARR Bridge'!AY26</f>
        <v/>
      </c>
      <c r="BM11" s="59">
        <f>O11</f>
        <v/>
      </c>
      <c r="BN11" s="59">
        <f>AA11</f>
        <v/>
      </c>
      <c r="BO11" s="59">
        <f>AM11</f>
        <v/>
      </c>
      <c r="BP11" s="59">
        <f>AY11</f>
        <v/>
      </c>
      <c r="BQ11" s="59">
        <f>BK11</f>
        <v/>
      </c>
    </row>
    <row r="12">
      <c r="B12" s="28" t="inlineStr">
        <is>
          <t xml:space="preserve">        Benchmark: median 89%, top quartile 94%</t>
        </is>
      </c>
      <c r="C12" s="19" t="n"/>
    </row>
    <row r="13"/>
    <row r="14">
      <c r="B14" s="3" t="inlineStr">
        <is>
          <t>EFFICIENCY</t>
        </is>
      </c>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c r="AX14" s="4" t="n"/>
      <c r="AY14" s="4" t="n"/>
      <c r="AZ14" s="4" t="n"/>
      <c r="BA14" s="4" t="n"/>
      <c r="BB14" s="4" t="n"/>
      <c r="BC14" s="4" t="n"/>
      <c r="BD14" s="4" t="n"/>
      <c r="BE14" s="4" t="n"/>
      <c r="BF14" s="4" t="n"/>
      <c r="BG14" s="4" t="n"/>
      <c r="BH14" s="4" t="n"/>
      <c r="BI14" s="4" t="n"/>
      <c r="BJ14" s="4" t="n"/>
      <c r="BK14" s="4" t="n"/>
      <c r="BL14" s="4" t="n"/>
      <c r="BM14" s="4" t="n"/>
      <c r="BN14" s="4" t="n"/>
      <c r="BO14" s="4" t="n"/>
      <c r="BP14" s="4" t="n"/>
      <c r="BQ14" s="4" t="n"/>
    </row>
    <row r="15">
      <c r="B15" s="18" t="inlineStr">
        <is>
          <t xml:space="preserve">    Gross margin</t>
        </is>
      </c>
      <c r="C15" s="19" t="inlineStr">
        <is>
          <t>%</t>
        </is>
      </c>
      <c r="D15" s="50">
        <f>'P&amp;L'!D25</f>
        <v/>
      </c>
      <c r="E15" s="50">
        <f>'P&amp;L'!E25</f>
        <v/>
      </c>
      <c r="F15" s="50">
        <f>'P&amp;L'!F25</f>
        <v/>
      </c>
      <c r="G15" s="50">
        <f>'P&amp;L'!G25</f>
        <v/>
      </c>
      <c r="H15" s="50">
        <f>'P&amp;L'!H25</f>
        <v/>
      </c>
      <c r="I15" s="50">
        <f>'P&amp;L'!I25</f>
        <v/>
      </c>
      <c r="J15" s="50">
        <f>'P&amp;L'!J25</f>
        <v/>
      </c>
      <c r="K15" s="50">
        <f>'P&amp;L'!K25</f>
        <v/>
      </c>
      <c r="L15" s="50">
        <f>'P&amp;L'!L25</f>
        <v/>
      </c>
      <c r="M15" s="50">
        <f>'P&amp;L'!M25</f>
        <v/>
      </c>
      <c r="N15" s="50">
        <f>'P&amp;L'!N25</f>
        <v/>
      </c>
      <c r="O15" s="50">
        <f>'P&amp;L'!O25</f>
        <v/>
      </c>
      <c r="P15" s="50">
        <f>'P&amp;L'!P25</f>
        <v/>
      </c>
      <c r="Q15" s="50">
        <f>'P&amp;L'!Q25</f>
        <v/>
      </c>
      <c r="R15" s="50">
        <f>'P&amp;L'!R25</f>
        <v/>
      </c>
      <c r="S15" s="50">
        <f>'P&amp;L'!S25</f>
        <v/>
      </c>
      <c r="T15" s="50">
        <f>'P&amp;L'!T25</f>
        <v/>
      </c>
      <c r="U15" s="50">
        <f>'P&amp;L'!U25</f>
        <v/>
      </c>
      <c r="V15" s="50">
        <f>'P&amp;L'!V25</f>
        <v/>
      </c>
      <c r="W15" s="50">
        <f>'P&amp;L'!W25</f>
        <v/>
      </c>
      <c r="X15" s="50">
        <f>'P&amp;L'!X25</f>
        <v/>
      </c>
      <c r="Y15" s="50">
        <f>'P&amp;L'!Y25</f>
        <v/>
      </c>
      <c r="Z15" s="50">
        <f>'P&amp;L'!Z25</f>
        <v/>
      </c>
      <c r="AA15" s="50">
        <f>'P&amp;L'!AA25</f>
        <v/>
      </c>
      <c r="AB15" s="50">
        <f>'P&amp;L'!AB25</f>
        <v/>
      </c>
      <c r="AC15" s="50">
        <f>'P&amp;L'!AC25</f>
        <v/>
      </c>
      <c r="AD15" s="50">
        <f>'P&amp;L'!AD25</f>
        <v/>
      </c>
      <c r="AE15" s="50">
        <f>'P&amp;L'!AE25</f>
        <v/>
      </c>
      <c r="AF15" s="50">
        <f>'P&amp;L'!AF25</f>
        <v/>
      </c>
      <c r="AG15" s="50">
        <f>'P&amp;L'!AG25</f>
        <v/>
      </c>
      <c r="AH15" s="50">
        <f>'P&amp;L'!AH25</f>
        <v/>
      </c>
      <c r="AI15" s="50">
        <f>'P&amp;L'!AI25</f>
        <v/>
      </c>
      <c r="AJ15" s="50">
        <f>'P&amp;L'!AJ25</f>
        <v/>
      </c>
      <c r="AK15" s="50">
        <f>'P&amp;L'!AK25</f>
        <v/>
      </c>
      <c r="AL15" s="50">
        <f>'P&amp;L'!AL25</f>
        <v/>
      </c>
      <c r="AM15" s="50">
        <f>'P&amp;L'!AM25</f>
        <v/>
      </c>
      <c r="AN15" s="50">
        <f>'P&amp;L'!AN25</f>
        <v/>
      </c>
      <c r="AO15" s="50">
        <f>'P&amp;L'!AO25</f>
        <v/>
      </c>
      <c r="AP15" s="50">
        <f>'P&amp;L'!AP25</f>
        <v/>
      </c>
      <c r="AQ15" s="50">
        <f>'P&amp;L'!AQ25</f>
        <v/>
      </c>
      <c r="AR15" s="50">
        <f>'P&amp;L'!AR25</f>
        <v/>
      </c>
      <c r="AS15" s="50">
        <f>'P&amp;L'!AS25</f>
        <v/>
      </c>
      <c r="AT15" s="50">
        <f>'P&amp;L'!AT25</f>
        <v/>
      </c>
      <c r="AU15" s="50">
        <f>'P&amp;L'!AU25</f>
        <v/>
      </c>
      <c r="AV15" s="50">
        <f>'P&amp;L'!AV25</f>
        <v/>
      </c>
      <c r="AW15" s="50">
        <f>'P&amp;L'!AW25</f>
        <v/>
      </c>
      <c r="AX15" s="50">
        <f>'P&amp;L'!AX25</f>
        <v/>
      </c>
      <c r="AY15" s="50">
        <f>'P&amp;L'!AY25</f>
        <v/>
      </c>
      <c r="AZ15" s="50">
        <f>'P&amp;L'!AZ25</f>
        <v/>
      </c>
      <c r="BA15" s="50">
        <f>'P&amp;L'!BA25</f>
        <v/>
      </c>
      <c r="BB15" s="50">
        <f>'P&amp;L'!BB25</f>
        <v/>
      </c>
      <c r="BC15" s="50">
        <f>'P&amp;L'!BC25</f>
        <v/>
      </c>
      <c r="BD15" s="50">
        <f>'P&amp;L'!BD25</f>
        <v/>
      </c>
      <c r="BE15" s="50">
        <f>'P&amp;L'!BE25</f>
        <v/>
      </c>
      <c r="BF15" s="50">
        <f>'P&amp;L'!BF25</f>
        <v/>
      </c>
      <c r="BG15" s="50">
        <f>'P&amp;L'!BG25</f>
        <v/>
      </c>
      <c r="BH15" s="50">
        <f>'P&amp;L'!BH25</f>
        <v/>
      </c>
      <c r="BI15" s="50">
        <f>'P&amp;L'!BI25</f>
        <v/>
      </c>
      <c r="BJ15" s="50">
        <f>'P&amp;L'!BJ25</f>
        <v/>
      </c>
      <c r="BK15" s="50">
        <f>'P&amp;L'!BK25</f>
        <v/>
      </c>
      <c r="BM15" s="59">
        <f>O15</f>
        <v/>
      </c>
      <c r="BN15" s="59">
        <f>AA15</f>
        <v/>
      </c>
      <c r="BO15" s="59">
        <f>AM15</f>
        <v/>
      </c>
      <c r="BP15" s="59">
        <f>AY15</f>
        <v/>
      </c>
      <c r="BQ15" s="59">
        <f>BK15</f>
        <v/>
      </c>
    </row>
    <row r="16">
      <c r="B16" s="29" t="inlineStr">
        <is>
          <t xml:space="preserve">    Burn multiple, net burn over net new ARR</t>
        </is>
      </c>
      <c r="C16" s="19" t="inlineStr">
        <is>
          <t>x</t>
        </is>
      </c>
      <c r="D16" s="61">
        <f>""</f>
        <v/>
      </c>
      <c r="E16" s="61">
        <f>""</f>
        <v/>
      </c>
      <c r="F16" s="61">
        <f>""</f>
        <v/>
      </c>
      <c r="G16" s="61">
        <f>""</f>
        <v/>
      </c>
      <c r="H16" s="61">
        <f>""</f>
        <v/>
      </c>
      <c r="I16" s="61">
        <f>""</f>
        <v/>
      </c>
      <c r="J16" s="61">
        <f>""</f>
        <v/>
      </c>
      <c r="K16" s="61">
        <f>""</f>
        <v/>
      </c>
      <c r="L16" s="61">
        <f>""</f>
        <v/>
      </c>
      <c r="M16" s="61">
        <f>""</f>
        <v/>
      </c>
      <c r="N16" s="61">
        <f>""</f>
        <v/>
      </c>
      <c r="O16" s="61">
        <f>""</f>
        <v/>
      </c>
      <c r="P16" s="61">
        <f>IF(OR('Rev-ARR Bridge'!P26-'Rev-ARR Bridge'!D26&lt;=0,SUM('Cash Flow'!E33:P33)&gt;=0),"",-SUM('Cash Flow'!E33:P33)/('Rev-ARR Bridge'!P26-'Rev-ARR Bridge'!D26))</f>
        <v/>
      </c>
      <c r="Q16" s="61">
        <f>IF(OR('Rev-ARR Bridge'!Q26-'Rev-ARR Bridge'!E26&lt;=0,SUM('Cash Flow'!F33:Q33)&gt;=0),"",-SUM('Cash Flow'!F33:Q33)/('Rev-ARR Bridge'!Q26-'Rev-ARR Bridge'!E26))</f>
        <v/>
      </c>
      <c r="R16" s="61">
        <f>IF(OR('Rev-ARR Bridge'!R26-'Rev-ARR Bridge'!F26&lt;=0,SUM('Cash Flow'!G33:R33)&gt;=0),"",-SUM('Cash Flow'!G33:R33)/('Rev-ARR Bridge'!R26-'Rev-ARR Bridge'!F26))</f>
        <v/>
      </c>
      <c r="S16" s="61">
        <f>IF(OR('Rev-ARR Bridge'!S26-'Rev-ARR Bridge'!G26&lt;=0,SUM('Cash Flow'!H33:S33)&gt;=0),"",-SUM('Cash Flow'!H33:S33)/('Rev-ARR Bridge'!S26-'Rev-ARR Bridge'!G26))</f>
        <v/>
      </c>
      <c r="T16" s="61">
        <f>IF(OR('Rev-ARR Bridge'!T26-'Rev-ARR Bridge'!H26&lt;=0,SUM('Cash Flow'!I33:T33)&gt;=0),"",-SUM('Cash Flow'!I33:T33)/('Rev-ARR Bridge'!T26-'Rev-ARR Bridge'!H26))</f>
        <v/>
      </c>
      <c r="U16" s="61">
        <f>IF(OR('Rev-ARR Bridge'!U26-'Rev-ARR Bridge'!I26&lt;=0,SUM('Cash Flow'!J33:U33)&gt;=0),"",-SUM('Cash Flow'!J33:U33)/('Rev-ARR Bridge'!U26-'Rev-ARR Bridge'!I26))</f>
        <v/>
      </c>
      <c r="V16" s="61">
        <f>IF(OR('Rev-ARR Bridge'!V26-'Rev-ARR Bridge'!J26&lt;=0,SUM('Cash Flow'!K33:V33)&gt;=0),"",-SUM('Cash Flow'!K33:V33)/('Rev-ARR Bridge'!V26-'Rev-ARR Bridge'!J26))</f>
        <v/>
      </c>
      <c r="W16" s="61">
        <f>IF(OR('Rev-ARR Bridge'!W26-'Rev-ARR Bridge'!K26&lt;=0,SUM('Cash Flow'!L33:W33)&gt;=0),"",-SUM('Cash Flow'!L33:W33)/('Rev-ARR Bridge'!W26-'Rev-ARR Bridge'!K26))</f>
        <v/>
      </c>
      <c r="X16" s="61">
        <f>IF(OR('Rev-ARR Bridge'!X26-'Rev-ARR Bridge'!L26&lt;=0,SUM('Cash Flow'!M33:X33)&gt;=0),"",-SUM('Cash Flow'!M33:X33)/('Rev-ARR Bridge'!X26-'Rev-ARR Bridge'!L26))</f>
        <v/>
      </c>
      <c r="Y16" s="61">
        <f>IF(OR('Rev-ARR Bridge'!Y26-'Rev-ARR Bridge'!M26&lt;=0,SUM('Cash Flow'!N33:Y33)&gt;=0),"",-SUM('Cash Flow'!N33:Y33)/('Rev-ARR Bridge'!Y26-'Rev-ARR Bridge'!M26))</f>
        <v/>
      </c>
      <c r="Z16" s="61">
        <f>IF(OR('Rev-ARR Bridge'!Z26-'Rev-ARR Bridge'!N26&lt;=0,SUM('Cash Flow'!O33:Z33)&gt;=0),"",-SUM('Cash Flow'!O33:Z33)/('Rev-ARR Bridge'!Z26-'Rev-ARR Bridge'!N26))</f>
        <v/>
      </c>
      <c r="AA16" s="61">
        <f>IF(OR('Rev-ARR Bridge'!AA26-'Rev-ARR Bridge'!O26&lt;=0,SUM('Cash Flow'!P33:AA33)&gt;=0),"",-SUM('Cash Flow'!P33:AA33)/('Rev-ARR Bridge'!AA26-'Rev-ARR Bridge'!O26))</f>
        <v/>
      </c>
      <c r="AB16" s="61">
        <f>IF(OR('Rev-ARR Bridge'!AB26-'Rev-ARR Bridge'!P26&lt;=0,SUM('Cash Flow'!Q33:AB33)&gt;=0),"",-SUM('Cash Flow'!Q33:AB33)/('Rev-ARR Bridge'!AB26-'Rev-ARR Bridge'!P26))</f>
        <v/>
      </c>
      <c r="AC16" s="61">
        <f>IF(OR('Rev-ARR Bridge'!AC26-'Rev-ARR Bridge'!Q26&lt;=0,SUM('Cash Flow'!R33:AC33)&gt;=0),"",-SUM('Cash Flow'!R33:AC33)/('Rev-ARR Bridge'!AC26-'Rev-ARR Bridge'!Q26))</f>
        <v/>
      </c>
      <c r="AD16" s="61">
        <f>IF(OR('Rev-ARR Bridge'!AD26-'Rev-ARR Bridge'!R26&lt;=0,SUM('Cash Flow'!S33:AD33)&gt;=0),"",-SUM('Cash Flow'!S33:AD33)/('Rev-ARR Bridge'!AD26-'Rev-ARR Bridge'!R26))</f>
        <v/>
      </c>
      <c r="AE16" s="61">
        <f>IF(OR('Rev-ARR Bridge'!AE26-'Rev-ARR Bridge'!S26&lt;=0,SUM('Cash Flow'!T33:AE33)&gt;=0),"",-SUM('Cash Flow'!T33:AE33)/('Rev-ARR Bridge'!AE26-'Rev-ARR Bridge'!S26))</f>
        <v/>
      </c>
      <c r="AF16" s="61">
        <f>IF(OR('Rev-ARR Bridge'!AF26-'Rev-ARR Bridge'!T26&lt;=0,SUM('Cash Flow'!U33:AF33)&gt;=0),"",-SUM('Cash Flow'!U33:AF33)/('Rev-ARR Bridge'!AF26-'Rev-ARR Bridge'!T26))</f>
        <v/>
      </c>
      <c r="AG16" s="61">
        <f>IF(OR('Rev-ARR Bridge'!AG26-'Rev-ARR Bridge'!U26&lt;=0,SUM('Cash Flow'!V33:AG33)&gt;=0),"",-SUM('Cash Flow'!V33:AG33)/('Rev-ARR Bridge'!AG26-'Rev-ARR Bridge'!U26))</f>
        <v/>
      </c>
      <c r="AH16" s="61">
        <f>IF(OR('Rev-ARR Bridge'!AH26-'Rev-ARR Bridge'!V26&lt;=0,SUM('Cash Flow'!W33:AH33)&gt;=0),"",-SUM('Cash Flow'!W33:AH33)/('Rev-ARR Bridge'!AH26-'Rev-ARR Bridge'!V26))</f>
        <v/>
      </c>
      <c r="AI16" s="61">
        <f>IF(OR('Rev-ARR Bridge'!AI26-'Rev-ARR Bridge'!W26&lt;=0,SUM('Cash Flow'!X33:AI33)&gt;=0),"",-SUM('Cash Flow'!X33:AI33)/('Rev-ARR Bridge'!AI26-'Rev-ARR Bridge'!W26))</f>
        <v/>
      </c>
      <c r="AJ16" s="61">
        <f>IF(OR('Rev-ARR Bridge'!AJ26-'Rev-ARR Bridge'!X26&lt;=0,SUM('Cash Flow'!Y33:AJ33)&gt;=0),"",-SUM('Cash Flow'!Y33:AJ33)/('Rev-ARR Bridge'!AJ26-'Rev-ARR Bridge'!X26))</f>
        <v/>
      </c>
      <c r="AK16" s="61">
        <f>IF(OR('Rev-ARR Bridge'!AK26-'Rev-ARR Bridge'!Y26&lt;=0,SUM('Cash Flow'!Z33:AK33)&gt;=0),"",-SUM('Cash Flow'!Z33:AK33)/('Rev-ARR Bridge'!AK26-'Rev-ARR Bridge'!Y26))</f>
        <v/>
      </c>
      <c r="AL16" s="61">
        <f>IF(OR('Rev-ARR Bridge'!AL26-'Rev-ARR Bridge'!Z26&lt;=0,SUM('Cash Flow'!AA33:AL33)&gt;=0),"",-SUM('Cash Flow'!AA33:AL33)/('Rev-ARR Bridge'!AL26-'Rev-ARR Bridge'!Z26))</f>
        <v/>
      </c>
      <c r="AM16" s="61">
        <f>IF(OR('Rev-ARR Bridge'!AM26-'Rev-ARR Bridge'!AA26&lt;=0,SUM('Cash Flow'!AB33:AM33)&gt;=0),"",-SUM('Cash Flow'!AB33:AM33)/('Rev-ARR Bridge'!AM26-'Rev-ARR Bridge'!AA26))</f>
        <v/>
      </c>
      <c r="AN16" s="61">
        <f>IF(OR('Rev-ARR Bridge'!AN26-'Rev-ARR Bridge'!AB26&lt;=0,SUM('Cash Flow'!AC33:AN33)&gt;=0),"",-SUM('Cash Flow'!AC33:AN33)/('Rev-ARR Bridge'!AN26-'Rev-ARR Bridge'!AB26))</f>
        <v/>
      </c>
      <c r="AO16" s="61">
        <f>IF(OR('Rev-ARR Bridge'!AO26-'Rev-ARR Bridge'!AC26&lt;=0,SUM('Cash Flow'!AD33:AO33)&gt;=0),"",-SUM('Cash Flow'!AD33:AO33)/('Rev-ARR Bridge'!AO26-'Rev-ARR Bridge'!AC26))</f>
        <v/>
      </c>
      <c r="AP16" s="61">
        <f>IF(OR('Rev-ARR Bridge'!AP26-'Rev-ARR Bridge'!AD26&lt;=0,SUM('Cash Flow'!AE33:AP33)&gt;=0),"",-SUM('Cash Flow'!AE33:AP33)/('Rev-ARR Bridge'!AP26-'Rev-ARR Bridge'!AD26))</f>
        <v/>
      </c>
      <c r="AQ16" s="61">
        <f>IF(OR('Rev-ARR Bridge'!AQ26-'Rev-ARR Bridge'!AE26&lt;=0,SUM('Cash Flow'!AF33:AQ33)&gt;=0),"",-SUM('Cash Flow'!AF33:AQ33)/('Rev-ARR Bridge'!AQ26-'Rev-ARR Bridge'!AE26))</f>
        <v/>
      </c>
      <c r="AR16" s="61">
        <f>IF(OR('Rev-ARR Bridge'!AR26-'Rev-ARR Bridge'!AF26&lt;=0,SUM('Cash Flow'!AG33:AR33)&gt;=0),"",-SUM('Cash Flow'!AG33:AR33)/('Rev-ARR Bridge'!AR26-'Rev-ARR Bridge'!AF26))</f>
        <v/>
      </c>
      <c r="AS16" s="61">
        <f>IF(OR('Rev-ARR Bridge'!AS26-'Rev-ARR Bridge'!AG26&lt;=0,SUM('Cash Flow'!AH33:AS33)&gt;=0),"",-SUM('Cash Flow'!AH33:AS33)/('Rev-ARR Bridge'!AS26-'Rev-ARR Bridge'!AG26))</f>
        <v/>
      </c>
      <c r="AT16" s="61">
        <f>IF(OR('Rev-ARR Bridge'!AT26-'Rev-ARR Bridge'!AH26&lt;=0,SUM('Cash Flow'!AI33:AT33)&gt;=0),"",-SUM('Cash Flow'!AI33:AT33)/('Rev-ARR Bridge'!AT26-'Rev-ARR Bridge'!AH26))</f>
        <v/>
      </c>
      <c r="AU16" s="61">
        <f>IF(OR('Rev-ARR Bridge'!AU26-'Rev-ARR Bridge'!AI26&lt;=0,SUM('Cash Flow'!AJ33:AU33)&gt;=0),"",-SUM('Cash Flow'!AJ33:AU33)/('Rev-ARR Bridge'!AU26-'Rev-ARR Bridge'!AI26))</f>
        <v/>
      </c>
      <c r="AV16" s="61">
        <f>IF(OR('Rev-ARR Bridge'!AV26-'Rev-ARR Bridge'!AJ26&lt;=0,SUM('Cash Flow'!AK33:AV33)&gt;=0),"",-SUM('Cash Flow'!AK33:AV33)/('Rev-ARR Bridge'!AV26-'Rev-ARR Bridge'!AJ26))</f>
        <v/>
      </c>
      <c r="AW16" s="61">
        <f>IF(OR('Rev-ARR Bridge'!AW26-'Rev-ARR Bridge'!AK26&lt;=0,SUM('Cash Flow'!AL33:AW33)&gt;=0),"",-SUM('Cash Flow'!AL33:AW33)/('Rev-ARR Bridge'!AW26-'Rev-ARR Bridge'!AK26))</f>
        <v/>
      </c>
      <c r="AX16" s="61">
        <f>IF(OR('Rev-ARR Bridge'!AX26-'Rev-ARR Bridge'!AL26&lt;=0,SUM('Cash Flow'!AM33:AX33)&gt;=0),"",-SUM('Cash Flow'!AM33:AX33)/('Rev-ARR Bridge'!AX26-'Rev-ARR Bridge'!AL26))</f>
        <v/>
      </c>
      <c r="AY16" s="61">
        <f>IF(OR('Rev-ARR Bridge'!AY26-'Rev-ARR Bridge'!AM26&lt;=0,SUM('Cash Flow'!AN33:AY33)&gt;=0),"",-SUM('Cash Flow'!AN33:AY33)/('Rev-ARR Bridge'!AY26-'Rev-ARR Bridge'!AM26))</f>
        <v/>
      </c>
      <c r="AZ16" s="61">
        <f>IF(OR('Rev-ARR Bridge'!AZ26-'Rev-ARR Bridge'!AN26&lt;=0,SUM('Cash Flow'!AO33:AZ33)&gt;=0),"",-SUM('Cash Flow'!AO33:AZ33)/('Rev-ARR Bridge'!AZ26-'Rev-ARR Bridge'!AN26))</f>
        <v/>
      </c>
      <c r="BA16" s="61">
        <f>IF(OR('Rev-ARR Bridge'!BA26-'Rev-ARR Bridge'!AO26&lt;=0,SUM('Cash Flow'!AP33:BA33)&gt;=0),"",-SUM('Cash Flow'!AP33:BA33)/('Rev-ARR Bridge'!BA26-'Rev-ARR Bridge'!AO26))</f>
        <v/>
      </c>
      <c r="BB16" s="61">
        <f>IF(OR('Rev-ARR Bridge'!BB26-'Rev-ARR Bridge'!AP26&lt;=0,SUM('Cash Flow'!AQ33:BB33)&gt;=0),"",-SUM('Cash Flow'!AQ33:BB33)/('Rev-ARR Bridge'!BB26-'Rev-ARR Bridge'!AP26))</f>
        <v/>
      </c>
      <c r="BC16" s="61">
        <f>IF(OR('Rev-ARR Bridge'!BC26-'Rev-ARR Bridge'!AQ26&lt;=0,SUM('Cash Flow'!AR33:BC33)&gt;=0),"",-SUM('Cash Flow'!AR33:BC33)/('Rev-ARR Bridge'!BC26-'Rev-ARR Bridge'!AQ26))</f>
        <v/>
      </c>
      <c r="BD16" s="61">
        <f>IF(OR('Rev-ARR Bridge'!BD26-'Rev-ARR Bridge'!AR26&lt;=0,SUM('Cash Flow'!AS33:BD33)&gt;=0),"",-SUM('Cash Flow'!AS33:BD33)/('Rev-ARR Bridge'!BD26-'Rev-ARR Bridge'!AR26))</f>
        <v/>
      </c>
      <c r="BE16" s="61">
        <f>IF(OR('Rev-ARR Bridge'!BE26-'Rev-ARR Bridge'!AS26&lt;=0,SUM('Cash Flow'!AT33:BE33)&gt;=0),"",-SUM('Cash Flow'!AT33:BE33)/('Rev-ARR Bridge'!BE26-'Rev-ARR Bridge'!AS26))</f>
        <v/>
      </c>
      <c r="BF16" s="61">
        <f>IF(OR('Rev-ARR Bridge'!BF26-'Rev-ARR Bridge'!AT26&lt;=0,SUM('Cash Flow'!AU33:BF33)&gt;=0),"",-SUM('Cash Flow'!AU33:BF33)/('Rev-ARR Bridge'!BF26-'Rev-ARR Bridge'!AT26))</f>
        <v/>
      </c>
      <c r="BG16" s="61">
        <f>IF(OR('Rev-ARR Bridge'!BG26-'Rev-ARR Bridge'!AU26&lt;=0,SUM('Cash Flow'!AV33:BG33)&gt;=0),"",-SUM('Cash Flow'!AV33:BG33)/('Rev-ARR Bridge'!BG26-'Rev-ARR Bridge'!AU26))</f>
        <v/>
      </c>
      <c r="BH16" s="61">
        <f>IF(OR('Rev-ARR Bridge'!BH26-'Rev-ARR Bridge'!AV26&lt;=0,SUM('Cash Flow'!AW33:BH33)&gt;=0),"",-SUM('Cash Flow'!AW33:BH33)/('Rev-ARR Bridge'!BH26-'Rev-ARR Bridge'!AV26))</f>
        <v/>
      </c>
      <c r="BI16" s="61">
        <f>IF(OR('Rev-ARR Bridge'!BI26-'Rev-ARR Bridge'!AW26&lt;=0,SUM('Cash Flow'!AX33:BI33)&gt;=0),"",-SUM('Cash Flow'!AX33:BI33)/('Rev-ARR Bridge'!BI26-'Rev-ARR Bridge'!AW26))</f>
        <v/>
      </c>
      <c r="BJ16" s="61">
        <f>IF(OR('Rev-ARR Bridge'!BJ26-'Rev-ARR Bridge'!AX26&lt;=0,SUM('Cash Flow'!AY33:BJ33)&gt;=0),"",-SUM('Cash Flow'!AY33:BJ33)/('Rev-ARR Bridge'!BJ26-'Rev-ARR Bridge'!AX26))</f>
        <v/>
      </c>
      <c r="BK16" s="61">
        <f>IF(OR('Rev-ARR Bridge'!BK26-'Rev-ARR Bridge'!AY26&lt;=0,SUM('Cash Flow'!AZ33:BK33)&gt;=0),"",-SUM('Cash Flow'!AZ33:BK33)/('Rev-ARR Bridge'!BK26-'Rev-ARR Bridge'!AY26))</f>
        <v/>
      </c>
      <c r="BM16" s="62">
        <f>O16</f>
        <v/>
      </c>
      <c r="BN16" s="62">
        <f>AA16</f>
        <v/>
      </c>
      <c r="BO16" s="62">
        <f>AM16</f>
        <v/>
      </c>
      <c r="BP16" s="62">
        <f>AY16</f>
        <v/>
      </c>
      <c r="BQ16" s="62">
        <f>BK16</f>
        <v/>
      </c>
    </row>
    <row r="17">
      <c r="B17" s="18" t="inlineStr">
        <is>
          <t xml:space="preserve">    ARR per full time employee</t>
        </is>
      </c>
      <c r="C17" s="19" t="inlineStr">
        <is>
          <t>$</t>
        </is>
      </c>
      <c r="D17" s="51">
        <f>'Rev-ARR Bridge'!D26/Headcount!D20</f>
        <v/>
      </c>
      <c r="E17" s="51">
        <f>'Rev-ARR Bridge'!E26/Headcount!E20</f>
        <v/>
      </c>
      <c r="F17" s="51">
        <f>'Rev-ARR Bridge'!F26/Headcount!F20</f>
        <v/>
      </c>
      <c r="G17" s="51">
        <f>'Rev-ARR Bridge'!G26/Headcount!G20</f>
        <v/>
      </c>
      <c r="H17" s="51">
        <f>'Rev-ARR Bridge'!H26/Headcount!H20</f>
        <v/>
      </c>
      <c r="I17" s="51">
        <f>'Rev-ARR Bridge'!I26/Headcount!I20</f>
        <v/>
      </c>
      <c r="J17" s="51">
        <f>'Rev-ARR Bridge'!J26/Headcount!J20</f>
        <v/>
      </c>
      <c r="K17" s="51">
        <f>'Rev-ARR Bridge'!K26/Headcount!K20</f>
        <v/>
      </c>
      <c r="L17" s="51">
        <f>'Rev-ARR Bridge'!L26/Headcount!L20</f>
        <v/>
      </c>
      <c r="M17" s="51">
        <f>'Rev-ARR Bridge'!M26/Headcount!M20</f>
        <v/>
      </c>
      <c r="N17" s="51">
        <f>'Rev-ARR Bridge'!N26/Headcount!N20</f>
        <v/>
      </c>
      <c r="O17" s="51">
        <f>'Rev-ARR Bridge'!O26/Headcount!O20</f>
        <v/>
      </c>
      <c r="P17" s="51">
        <f>'Rev-ARR Bridge'!P26/Headcount!P20</f>
        <v/>
      </c>
      <c r="Q17" s="51">
        <f>'Rev-ARR Bridge'!Q26/Headcount!Q20</f>
        <v/>
      </c>
      <c r="R17" s="51">
        <f>'Rev-ARR Bridge'!R26/Headcount!R20</f>
        <v/>
      </c>
      <c r="S17" s="51">
        <f>'Rev-ARR Bridge'!S26/Headcount!S20</f>
        <v/>
      </c>
      <c r="T17" s="51">
        <f>'Rev-ARR Bridge'!T26/Headcount!T20</f>
        <v/>
      </c>
      <c r="U17" s="51">
        <f>'Rev-ARR Bridge'!U26/Headcount!U20</f>
        <v/>
      </c>
      <c r="V17" s="51">
        <f>'Rev-ARR Bridge'!V26/Headcount!V20</f>
        <v/>
      </c>
      <c r="W17" s="51">
        <f>'Rev-ARR Bridge'!W26/Headcount!W20</f>
        <v/>
      </c>
      <c r="X17" s="51">
        <f>'Rev-ARR Bridge'!X26/Headcount!X20</f>
        <v/>
      </c>
      <c r="Y17" s="51">
        <f>'Rev-ARR Bridge'!Y26/Headcount!Y20</f>
        <v/>
      </c>
      <c r="Z17" s="51">
        <f>'Rev-ARR Bridge'!Z26/Headcount!Z20</f>
        <v/>
      </c>
      <c r="AA17" s="51">
        <f>'Rev-ARR Bridge'!AA26/Headcount!AA20</f>
        <v/>
      </c>
      <c r="AB17" s="51">
        <f>'Rev-ARR Bridge'!AB26/Headcount!AB20</f>
        <v/>
      </c>
      <c r="AC17" s="51">
        <f>'Rev-ARR Bridge'!AC26/Headcount!AC20</f>
        <v/>
      </c>
      <c r="AD17" s="51">
        <f>'Rev-ARR Bridge'!AD26/Headcount!AD20</f>
        <v/>
      </c>
      <c r="AE17" s="51">
        <f>'Rev-ARR Bridge'!AE26/Headcount!AE20</f>
        <v/>
      </c>
      <c r="AF17" s="51">
        <f>'Rev-ARR Bridge'!AF26/Headcount!AF20</f>
        <v/>
      </c>
      <c r="AG17" s="51">
        <f>'Rev-ARR Bridge'!AG26/Headcount!AG20</f>
        <v/>
      </c>
      <c r="AH17" s="51">
        <f>'Rev-ARR Bridge'!AH26/Headcount!AH20</f>
        <v/>
      </c>
      <c r="AI17" s="51">
        <f>'Rev-ARR Bridge'!AI26/Headcount!AI20</f>
        <v/>
      </c>
      <c r="AJ17" s="51">
        <f>'Rev-ARR Bridge'!AJ26/Headcount!AJ20</f>
        <v/>
      </c>
      <c r="AK17" s="51">
        <f>'Rev-ARR Bridge'!AK26/Headcount!AK20</f>
        <v/>
      </c>
      <c r="AL17" s="51">
        <f>'Rev-ARR Bridge'!AL26/Headcount!AL20</f>
        <v/>
      </c>
      <c r="AM17" s="51">
        <f>'Rev-ARR Bridge'!AM26/Headcount!AM20</f>
        <v/>
      </c>
      <c r="AN17" s="51">
        <f>'Rev-ARR Bridge'!AN26/Headcount!AN20</f>
        <v/>
      </c>
      <c r="AO17" s="51">
        <f>'Rev-ARR Bridge'!AO26/Headcount!AO20</f>
        <v/>
      </c>
      <c r="AP17" s="51">
        <f>'Rev-ARR Bridge'!AP26/Headcount!AP20</f>
        <v/>
      </c>
      <c r="AQ17" s="51">
        <f>'Rev-ARR Bridge'!AQ26/Headcount!AQ20</f>
        <v/>
      </c>
      <c r="AR17" s="51">
        <f>'Rev-ARR Bridge'!AR26/Headcount!AR20</f>
        <v/>
      </c>
      <c r="AS17" s="51">
        <f>'Rev-ARR Bridge'!AS26/Headcount!AS20</f>
        <v/>
      </c>
      <c r="AT17" s="51">
        <f>'Rev-ARR Bridge'!AT26/Headcount!AT20</f>
        <v/>
      </c>
      <c r="AU17" s="51">
        <f>'Rev-ARR Bridge'!AU26/Headcount!AU20</f>
        <v/>
      </c>
      <c r="AV17" s="51">
        <f>'Rev-ARR Bridge'!AV26/Headcount!AV20</f>
        <v/>
      </c>
      <c r="AW17" s="51">
        <f>'Rev-ARR Bridge'!AW26/Headcount!AW20</f>
        <v/>
      </c>
      <c r="AX17" s="51">
        <f>'Rev-ARR Bridge'!AX26/Headcount!AX20</f>
        <v/>
      </c>
      <c r="AY17" s="51">
        <f>'Rev-ARR Bridge'!AY26/Headcount!AY20</f>
        <v/>
      </c>
      <c r="AZ17" s="51">
        <f>'Rev-ARR Bridge'!AZ26/Headcount!AZ20</f>
        <v/>
      </c>
      <c r="BA17" s="51">
        <f>'Rev-ARR Bridge'!BA26/Headcount!BA20</f>
        <v/>
      </c>
      <c r="BB17" s="51">
        <f>'Rev-ARR Bridge'!BB26/Headcount!BB20</f>
        <v/>
      </c>
      <c r="BC17" s="51">
        <f>'Rev-ARR Bridge'!BC26/Headcount!BC20</f>
        <v/>
      </c>
      <c r="BD17" s="51">
        <f>'Rev-ARR Bridge'!BD26/Headcount!BD20</f>
        <v/>
      </c>
      <c r="BE17" s="51">
        <f>'Rev-ARR Bridge'!BE26/Headcount!BE20</f>
        <v/>
      </c>
      <c r="BF17" s="51">
        <f>'Rev-ARR Bridge'!BF26/Headcount!BF20</f>
        <v/>
      </c>
      <c r="BG17" s="51">
        <f>'Rev-ARR Bridge'!BG26/Headcount!BG20</f>
        <v/>
      </c>
      <c r="BH17" s="51">
        <f>'Rev-ARR Bridge'!BH26/Headcount!BH20</f>
        <v/>
      </c>
      <c r="BI17" s="51">
        <f>'Rev-ARR Bridge'!BI26/Headcount!BI20</f>
        <v/>
      </c>
      <c r="BJ17" s="51">
        <f>'Rev-ARR Bridge'!BJ26/Headcount!BJ20</f>
        <v/>
      </c>
      <c r="BK17" s="51">
        <f>'Rev-ARR Bridge'!BK26/Headcount!BK20</f>
        <v/>
      </c>
      <c r="BM17" s="47">
        <f>O17</f>
        <v/>
      </c>
      <c r="BN17" s="47">
        <f>AA17</f>
        <v/>
      </c>
      <c r="BO17" s="47">
        <f>AM17</f>
        <v/>
      </c>
      <c r="BP17" s="47">
        <f>AY17</f>
        <v/>
      </c>
      <c r="BQ17" s="47">
        <f>BK17</f>
        <v/>
      </c>
    </row>
    <row r="18">
      <c r="B18" s="18" t="inlineStr">
        <is>
          <t xml:space="preserve">    Rule of 40, growth plus EBITDA margin</t>
        </is>
      </c>
      <c r="C18" s="19" t="inlineStr">
        <is>
          <t>%</t>
        </is>
      </c>
      <c r="D18" s="49">
        <f>""</f>
        <v/>
      </c>
      <c r="E18" s="49">
        <f>""</f>
        <v/>
      </c>
      <c r="F18" s="49">
        <f>""</f>
        <v/>
      </c>
      <c r="G18" s="49">
        <f>""</f>
        <v/>
      </c>
      <c r="H18" s="49">
        <f>""</f>
        <v/>
      </c>
      <c r="I18" s="49">
        <f>""</f>
        <v/>
      </c>
      <c r="J18" s="49">
        <f>""</f>
        <v/>
      </c>
      <c r="K18" s="49">
        <f>""</f>
        <v/>
      </c>
      <c r="L18" s="49">
        <f>""</f>
        <v/>
      </c>
      <c r="M18" s="49">
        <f>""</f>
        <v/>
      </c>
      <c r="N18" s="49">
        <f>""</f>
        <v/>
      </c>
      <c r="O18" s="49">
        <f>""</f>
        <v/>
      </c>
      <c r="P18" s="49">
        <f>'Rev-ARR Bridge'!P27+SUM('P&amp;L'!E43:P43)/SUM('P&amp;L'!E13:P13)</f>
        <v/>
      </c>
      <c r="Q18" s="49">
        <f>'Rev-ARR Bridge'!Q27+SUM('P&amp;L'!F43:Q43)/SUM('P&amp;L'!F13:Q13)</f>
        <v/>
      </c>
      <c r="R18" s="49">
        <f>'Rev-ARR Bridge'!R27+SUM('P&amp;L'!G43:R43)/SUM('P&amp;L'!G13:R13)</f>
        <v/>
      </c>
      <c r="S18" s="49">
        <f>'Rev-ARR Bridge'!S27+SUM('P&amp;L'!H43:S43)/SUM('P&amp;L'!H13:S13)</f>
        <v/>
      </c>
      <c r="T18" s="49">
        <f>'Rev-ARR Bridge'!T27+SUM('P&amp;L'!I43:T43)/SUM('P&amp;L'!I13:T13)</f>
        <v/>
      </c>
      <c r="U18" s="49">
        <f>'Rev-ARR Bridge'!U27+SUM('P&amp;L'!J43:U43)/SUM('P&amp;L'!J13:U13)</f>
        <v/>
      </c>
      <c r="V18" s="49">
        <f>'Rev-ARR Bridge'!V27+SUM('P&amp;L'!K43:V43)/SUM('P&amp;L'!K13:V13)</f>
        <v/>
      </c>
      <c r="W18" s="49">
        <f>'Rev-ARR Bridge'!W27+SUM('P&amp;L'!L43:W43)/SUM('P&amp;L'!L13:W13)</f>
        <v/>
      </c>
      <c r="X18" s="49">
        <f>'Rev-ARR Bridge'!X27+SUM('P&amp;L'!M43:X43)/SUM('P&amp;L'!M13:X13)</f>
        <v/>
      </c>
      <c r="Y18" s="49">
        <f>'Rev-ARR Bridge'!Y27+SUM('P&amp;L'!N43:Y43)/SUM('P&amp;L'!N13:Y13)</f>
        <v/>
      </c>
      <c r="Z18" s="49">
        <f>'Rev-ARR Bridge'!Z27+SUM('P&amp;L'!O43:Z43)/SUM('P&amp;L'!O13:Z13)</f>
        <v/>
      </c>
      <c r="AA18" s="49">
        <f>'Rev-ARR Bridge'!AA27+SUM('P&amp;L'!P43:AA43)/SUM('P&amp;L'!P13:AA13)</f>
        <v/>
      </c>
      <c r="AB18" s="49">
        <f>'Rev-ARR Bridge'!AB27+SUM('P&amp;L'!Q43:AB43)/SUM('P&amp;L'!Q13:AB13)</f>
        <v/>
      </c>
      <c r="AC18" s="49">
        <f>'Rev-ARR Bridge'!AC27+SUM('P&amp;L'!R43:AC43)/SUM('P&amp;L'!R13:AC13)</f>
        <v/>
      </c>
      <c r="AD18" s="49">
        <f>'Rev-ARR Bridge'!AD27+SUM('P&amp;L'!S43:AD43)/SUM('P&amp;L'!S13:AD13)</f>
        <v/>
      </c>
      <c r="AE18" s="49">
        <f>'Rev-ARR Bridge'!AE27+SUM('P&amp;L'!T43:AE43)/SUM('P&amp;L'!T13:AE13)</f>
        <v/>
      </c>
      <c r="AF18" s="49">
        <f>'Rev-ARR Bridge'!AF27+SUM('P&amp;L'!U43:AF43)/SUM('P&amp;L'!U13:AF13)</f>
        <v/>
      </c>
      <c r="AG18" s="49">
        <f>'Rev-ARR Bridge'!AG27+SUM('P&amp;L'!V43:AG43)/SUM('P&amp;L'!V13:AG13)</f>
        <v/>
      </c>
      <c r="AH18" s="49">
        <f>'Rev-ARR Bridge'!AH27+SUM('P&amp;L'!W43:AH43)/SUM('P&amp;L'!W13:AH13)</f>
        <v/>
      </c>
      <c r="AI18" s="49">
        <f>'Rev-ARR Bridge'!AI27+SUM('P&amp;L'!X43:AI43)/SUM('P&amp;L'!X13:AI13)</f>
        <v/>
      </c>
      <c r="AJ18" s="49">
        <f>'Rev-ARR Bridge'!AJ27+SUM('P&amp;L'!Y43:AJ43)/SUM('P&amp;L'!Y13:AJ13)</f>
        <v/>
      </c>
      <c r="AK18" s="49">
        <f>'Rev-ARR Bridge'!AK27+SUM('P&amp;L'!Z43:AK43)/SUM('P&amp;L'!Z13:AK13)</f>
        <v/>
      </c>
      <c r="AL18" s="49">
        <f>'Rev-ARR Bridge'!AL27+SUM('P&amp;L'!AA43:AL43)/SUM('P&amp;L'!AA13:AL13)</f>
        <v/>
      </c>
      <c r="AM18" s="49">
        <f>'Rev-ARR Bridge'!AM27+SUM('P&amp;L'!AB43:AM43)/SUM('P&amp;L'!AB13:AM13)</f>
        <v/>
      </c>
      <c r="AN18" s="49">
        <f>'Rev-ARR Bridge'!AN27+SUM('P&amp;L'!AC43:AN43)/SUM('P&amp;L'!AC13:AN13)</f>
        <v/>
      </c>
      <c r="AO18" s="49">
        <f>'Rev-ARR Bridge'!AO27+SUM('P&amp;L'!AD43:AO43)/SUM('P&amp;L'!AD13:AO13)</f>
        <v/>
      </c>
      <c r="AP18" s="49">
        <f>'Rev-ARR Bridge'!AP27+SUM('P&amp;L'!AE43:AP43)/SUM('P&amp;L'!AE13:AP13)</f>
        <v/>
      </c>
      <c r="AQ18" s="49">
        <f>'Rev-ARR Bridge'!AQ27+SUM('P&amp;L'!AF43:AQ43)/SUM('P&amp;L'!AF13:AQ13)</f>
        <v/>
      </c>
      <c r="AR18" s="49">
        <f>'Rev-ARR Bridge'!AR27+SUM('P&amp;L'!AG43:AR43)/SUM('P&amp;L'!AG13:AR13)</f>
        <v/>
      </c>
      <c r="AS18" s="49">
        <f>'Rev-ARR Bridge'!AS27+SUM('P&amp;L'!AH43:AS43)/SUM('P&amp;L'!AH13:AS13)</f>
        <v/>
      </c>
      <c r="AT18" s="49">
        <f>'Rev-ARR Bridge'!AT27+SUM('P&amp;L'!AI43:AT43)/SUM('P&amp;L'!AI13:AT13)</f>
        <v/>
      </c>
      <c r="AU18" s="49">
        <f>'Rev-ARR Bridge'!AU27+SUM('P&amp;L'!AJ43:AU43)/SUM('P&amp;L'!AJ13:AU13)</f>
        <v/>
      </c>
      <c r="AV18" s="49">
        <f>'Rev-ARR Bridge'!AV27+SUM('P&amp;L'!AK43:AV43)/SUM('P&amp;L'!AK13:AV13)</f>
        <v/>
      </c>
      <c r="AW18" s="49">
        <f>'Rev-ARR Bridge'!AW27+SUM('P&amp;L'!AL43:AW43)/SUM('P&amp;L'!AL13:AW13)</f>
        <v/>
      </c>
      <c r="AX18" s="49">
        <f>'Rev-ARR Bridge'!AX27+SUM('P&amp;L'!AM43:AX43)/SUM('P&amp;L'!AM13:AX13)</f>
        <v/>
      </c>
      <c r="AY18" s="49">
        <f>'Rev-ARR Bridge'!AY27+SUM('P&amp;L'!AN43:AY43)/SUM('P&amp;L'!AN13:AY13)</f>
        <v/>
      </c>
      <c r="AZ18" s="49">
        <f>'Rev-ARR Bridge'!AZ27+SUM('P&amp;L'!AO43:AZ43)/SUM('P&amp;L'!AO13:AZ13)</f>
        <v/>
      </c>
      <c r="BA18" s="49">
        <f>'Rev-ARR Bridge'!BA27+SUM('P&amp;L'!AP43:BA43)/SUM('P&amp;L'!AP13:BA13)</f>
        <v/>
      </c>
      <c r="BB18" s="49">
        <f>'Rev-ARR Bridge'!BB27+SUM('P&amp;L'!AQ43:BB43)/SUM('P&amp;L'!AQ13:BB13)</f>
        <v/>
      </c>
      <c r="BC18" s="49">
        <f>'Rev-ARR Bridge'!BC27+SUM('P&amp;L'!AR43:BC43)/SUM('P&amp;L'!AR13:BC13)</f>
        <v/>
      </c>
      <c r="BD18" s="49">
        <f>'Rev-ARR Bridge'!BD27+SUM('P&amp;L'!AS43:BD43)/SUM('P&amp;L'!AS13:BD13)</f>
        <v/>
      </c>
      <c r="BE18" s="49">
        <f>'Rev-ARR Bridge'!BE27+SUM('P&amp;L'!AT43:BE43)/SUM('P&amp;L'!AT13:BE13)</f>
        <v/>
      </c>
      <c r="BF18" s="49">
        <f>'Rev-ARR Bridge'!BF27+SUM('P&amp;L'!AU43:BF43)/SUM('P&amp;L'!AU13:BF13)</f>
        <v/>
      </c>
      <c r="BG18" s="49">
        <f>'Rev-ARR Bridge'!BG27+SUM('P&amp;L'!AV43:BG43)/SUM('P&amp;L'!AV13:BG13)</f>
        <v/>
      </c>
      <c r="BH18" s="49">
        <f>'Rev-ARR Bridge'!BH27+SUM('P&amp;L'!AW43:BH43)/SUM('P&amp;L'!AW13:BH13)</f>
        <v/>
      </c>
      <c r="BI18" s="49">
        <f>'Rev-ARR Bridge'!BI27+SUM('P&amp;L'!AX43:BI43)/SUM('P&amp;L'!AX13:BI13)</f>
        <v/>
      </c>
      <c r="BJ18" s="49">
        <f>'Rev-ARR Bridge'!BJ27+SUM('P&amp;L'!AY43:BJ43)/SUM('P&amp;L'!AY13:BJ13)</f>
        <v/>
      </c>
      <c r="BK18" s="49">
        <f>'Rev-ARR Bridge'!BK27+SUM('P&amp;L'!AZ43:BK43)/SUM('P&amp;L'!AZ13:BK13)</f>
        <v/>
      </c>
      <c r="BM18" s="54">
        <f>O18</f>
        <v/>
      </c>
      <c r="BN18" s="54">
        <f>AA18</f>
        <v/>
      </c>
      <c r="BO18" s="54">
        <f>AM18</f>
        <v/>
      </c>
      <c r="BP18" s="54">
        <f>AY18</f>
        <v/>
      </c>
      <c r="BQ18" s="54">
        <f>BK18</f>
        <v/>
      </c>
    </row>
    <row r="19">
      <c r="B19" s="18" t="inlineStr">
        <is>
          <t xml:space="preserve">    CAC per new logo, excluding customer success</t>
        </is>
      </c>
      <c r="C19" s="19" t="inlineStr">
        <is>
          <t>$</t>
        </is>
      </c>
      <c r="D19" s="51">
        <f>""</f>
        <v/>
      </c>
      <c r="E19" s="51">
        <f>""</f>
        <v/>
      </c>
      <c r="F19" s="51">
        <f>""</f>
        <v/>
      </c>
      <c r="G19" s="51">
        <f>IF(SUM('Rev-Capacity'!E30:G30)=0,"",(SUM('P&amp;L'!E37:G37)-SUM('P&amp;L'!E36:G36))/SUM('Rev-Capacity'!E30:G30))</f>
        <v/>
      </c>
      <c r="H19" s="51">
        <f>IF(SUM('Rev-Capacity'!F30:H30)=0,"",(SUM('P&amp;L'!F37:H37)-SUM('P&amp;L'!F36:H36))/SUM('Rev-Capacity'!F30:H30))</f>
        <v/>
      </c>
      <c r="I19" s="51">
        <f>IF(SUM('Rev-Capacity'!G30:I30)=0,"",(SUM('P&amp;L'!G37:I37)-SUM('P&amp;L'!G36:I36))/SUM('Rev-Capacity'!G30:I30))</f>
        <v/>
      </c>
      <c r="J19" s="51">
        <f>IF(SUM('Rev-Capacity'!H30:J30)=0,"",(SUM('P&amp;L'!H37:J37)-SUM('P&amp;L'!H36:J36))/SUM('Rev-Capacity'!H30:J30))</f>
        <v/>
      </c>
      <c r="K19" s="51">
        <f>IF(SUM('Rev-Capacity'!I30:K30)=0,"",(SUM('P&amp;L'!I37:K37)-SUM('P&amp;L'!I36:K36))/SUM('Rev-Capacity'!I30:K30))</f>
        <v/>
      </c>
      <c r="L19" s="51">
        <f>IF(SUM('Rev-Capacity'!J30:L30)=0,"",(SUM('P&amp;L'!J37:L37)-SUM('P&amp;L'!J36:L36))/SUM('Rev-Capacity'!J30:L30))</f>
        <v/>
      </c>
      <c r="M19" s="51">
        <f>IF(SUM('Rev-Capacity'!K30:M30)=0,"",(SUM('P&amp;L'!K37:M37)-SUM('P&amp;L'!K36:M36))/SUM('Rev-Capacity'!K30:M30))</f>
        <v/>
      </c>
      <c r="N19" s="51">
        <f>IF(SUM('Rev-Capacity'!L30:N30)=0,"",(SUM('P&amp;L'!L37:N37)-SUM('P&amp;L'!L36:N36))/SUM('Rev-Capacity'!L30:N30))</f>
        <v/>
      </c>
      <c r="O19" s="51">
        <f>IF(SUM('Rev-Capacity'!M30:O30)=0,"",(SUM('P&amp;L'!M37:O37)-SUM('P&amp;L'!M36:O36))/SUM('Rev-Capacity'!M30:O30))</f>
        <v/>
      </c>
      <c r="P19" s="51">
        <f>IF(SUM('Rev-Capacity'!N30:P30)=0,"",(SUM('P&amp;L'!N37:P37)-SUM('P&amp;L'!N36:P36))/SUM('Rev-Capacity'!N30:P30))</f>
        <v/>
      </c>
      <c r="Q19" s="51">
        <f>IF(SUM('Rev-Capacity'!O30:Q30)=0,"",(SUM('P&amp;L'!O37:Q37)-SUM('P&amp;L'!O36:Q36))/SUM('Rev-Capacity'!O30:Q30))</f>
        <v/>
      </c>
      <c r="R19" s="51">
        <f>IF(SUM('Rev-Capacity'!P30:R30)=0,"",(SUM('P&amp;L'!P37:R37)-SUM('P&amp;L'!P36:R36))/SUM('Rev-Capacity'!P30:R30))</f>
        <v/>
      </c>
      <c r="S19" s="51">
        <f>IF(SUM('Rev-Capacity'!Q30:S30)=0,"",(SUM('P&amp;L'!Q37:S37)-SUM('P&amp;L'!Q36:S36))/SUM('Rev-Capacity'!Q30:S30))</f>
        <v/>
      </c>
      <c r="T19" s="51">
        <f>IF(SUM('Rev-Capacity'!R30:T30)=0,"",(SUM('P&amp;L'!R37:T37)-SUM('P&amp;L'!R36:T36))/SUM('Rev-Capacity'!R30:T30))</f>
        <v/>
      </c>
      <c r="U19" s="51">
        <f>IF(SUM('Rev-Capacity'!S30:U30)=0,"",(SUM('P&amp;L'!S37:U37)-SUM('P&amp;L'!S36:U36))/SUM('Rev-Capacity'!S30:U30))</f>
        <v/>
      </c>
      <c r="V19" s="51">
        <f>IF(SUM('Rev-Capacity'!T30:V30)=0,"",(SUM('P&amp;L'!T37:V37)-SUM('P&amp;L'!T36:V36))/SUM('Rev-Capacity'!T30:V30))</f>
        <v/>
      </c>
      <c r="W19" s="51">
        <f>IF(SUM('Rev-Capacity'!U30:W30)=0,"",(SUM('P&amp;L'!U37:W37)-SUM('P&amp;L'!U36:W36))/SUM('Rev-Capacity'!U30:W30))</f>
        <v/>
      </c>
      <c r="X19" s="51">
        <f>IF(SUM('Rev-Capacity'!V30:X30)=0,"",(SUM('P&amp;L'!V37:X37)-SUM('P&amp;L'!V36:X36))/SUM('Rev-Capacity'!V30:X30))</f>
        <v/>
      </c>
      <c r="Y19" s="51">
        <f>IF(SUM('Rev-Capacity'!W30:Y30)=0,"",(SUM('P&amp;L'!W37:Y37)-SUM('P&amp;L'!W36:Y36))/SUM('Rev-Capacity'!W30:Y30))</f>
        <v/>
      </c>
      <c r="Z19" s="51">
        <f>IF(SUM('Rev-Capacity'!X30:Z30)=0,"",(SUM('P&amp;L'!X37:Z37)-SUM('P&amp;L'!X36:Z36))/SUM('Rev-Capacity'!X30:Z30))</f>
        <v/>
      </c>
      <c r="AA19" s="51">
        <f>IF(SUM('Rev-Capacity'!Y30:AA30)=0,"",(SUM('P&amp;L'!Y37:AA37)-SUM('P&amp;L'!Y36:AA36))/SUM('Rev-Capacity'!Y30:AA30))</f>
        <v/>
      </c>
      <c r="AB19" s="51">
        <f>IF(SUM('Rev-Capacity'!Z30:AB30)=0,"",(SUM('P&amp;L'!Z37:AB37)-SUM('P&amp;L'!Z36:AB36))/SUM('Rev-Capacity'!Z30:AB30))</f>
        <v/>
      </c>
      <c r="AC19" s="51">
        <f>IF(SUM('Rev-Capacity'!AA30:AC30)=0,"",(SUM('P&amp;L'!AA37:AC37)-SUM('P&amp;L'!AA36:AC36))/SUM('Rev-Capacity'!AA30:AC30))</f>
        <v/>
      </c>
      <c r="AD19" s="51">
        <f>IF(SUM('Rev-Capacity'!AB30:AD30)=0,"",(SUM('P&amp;L'!AB37:AD37)-SUM('P&amp;L'!AB36:AD36))/SUM('Rev-Capacity'!AB30:AD30))</f>
        <v/>
      </c>
      <c r="AE19" s="51">
        <f>IF(SUM('Rev-Capacity'!AC30:AE30)=0,"",(SUM('P&amp;L'!AC37:AE37)-SUM('P&amp;L'!AC36:AE36))/SUM('Rev-Capacity'!AC30:AE30))</f>
        <v/>
      </c>
      <c r="AF19" s="51">
        <f>IF(SUM('Rev-Capacity'!AD30:AF30)=0,"",(SUM('P&amp;L'!AD37:AF37)-SUM('P&amp;L'!AD36:AF36))/SUM('Rev-Capacity'!AD30:AF30))</f>
        <v/>
      </c>
      <c r="AG19" s="51">
        <f>IF(SUM('Rev-Capacity'!AE30:AG30)=0,"",(SUM('P&amp;L'!AE37:AG37)-SUM('P&amp;L'!AE36:AG36))/SUM('Rev-Capacity'!AE30:AG30))</f>
        <v/>
      </c>
      <c r="AH19" s="51">
        <f>IF(SUM('Rev-Capacity'!AF30:AH30)=0,"",(SUM('P&amp;L'!AF37:AH37)-SUM('P&amp;L'!AF36:AH36))/SUM('Rev-Capacity'!AF30:AH30))</f>
        <v/>
      </c>
      <c r="AI19" s="51">
        <f>IF(SUM('Rev-Capacity'!AG30:AI30)=0,"",(SUM('P&amp;L'!AG37:AI37)-SUM('P&amp;L'!AG36:AI36))/SUM('Rev-Capacity'!AG30:AI30))</f>
        <v/>
      </c>
      <c r="AJ19" s="51">
        <f>IF(SUM('Rev-Capacity'!AH30:AJ30)=0,"",(SUM('P&amp;L'!AH37:AJ37)-SUM('P&amp;L'!AH36:AJ36))/SUM('Rev-Capacity'!AH30:AJ30))</f>
        <v/>
      </c>
      <c r="AK19" s="51">
        <f>IF(SUM('Rev-Capacity'!AI30:AK30)=0,"",(SUM('P&amp;L'!AI37:AK37)-SUM('P&amp;L'!AI36:AK36))/SUM('Rev-Capacity'!AI30:AK30))</f>
        <v/>
      </c>
      <c r="AL19" s="51">
        <f>IF(SUM('Rev-Capacity'!AJ30:AL30)=0,"",(SUM('P&amp;L'!AJ37:AL37)-SUM('P&amp;L'!AJ36:AL36))/SUM('Rev-Capacity'!AJ30:AL30))</f>
        <v/>
      </c>
      <c r="AM19" s="51">
        <f>IF(SUM('Rev-Capacity'!AK30:AM30)=0,"",(SUM('P&amp;L'!AK37:AM37)-SUM('P&amp;L'!AK36:AM36))/SUM('Rev-Capacity'!AK30:AM30))</f>
        <v/>
      </c>
      <c r="AN19" s="51">
        <f>IF(SUM('Rev-Capacity'!AL30:AN30)=0,"",(SUM('P&amp;L'!AL37:AN37)-SUM('P&amp;L'!AL36:AN36))/SUM('Rev-Capacity'!AL30:AN30))</f>
        <v/>
      </c>
      <c r="AO19" s="51">
        <f>IF(SUM('Rev-Capacity'!AM30:AO30)=0,"",(SUM('P&amp;L'!AM37:AO37)-SUM('P&amp;L'!AM36:AO36))/SUM('Rev-Capacity'!AM30:AO30))</f>
        <v/>
      </c>
      <c r="AP19" s="51">
        <f>IF(SUM('Rev-Capacity'!AN30:AP30)=0,"",(SUM('P&amp;L'!AN37:AP37)-SUM('P&amp;L'!AN36:AP36))/SUM('Rev-Capacity'!AN30:AP30))</f>
        <v/>
      </c>
      <c r="AQ19" s="51">
        <f>IF(SUM('Rev-Capacity'!AO30:AQ30)=0,"",(SUM('P&amp;L'!AO37:AQ37)-SUM('P&amp;L'!AO36:AQ36))/SUM('Rev-Capacity'!AO30:AQ30))</f>
        <v/>
      </c>
      <c r="AR19" s="51">
        <f>IF(SUM('Rev-Capacity'!AP30:AR30)=0,"",(SUM('P&amp;L'!AP37:AR37)-SUM('P&amp;L'!AP36:AR36))/SUM('Rev-Capacity'!AP30:AR30))</f>
        <v/>
      </c>
      <c r="AS19" s="51">
        <f>IF(SUM('Rev-Capacity'!AQ30:AS30)=0,"",(SUM('P&amp;L'!AQ37:AS37)-SUM('P&amp;L'!AQ36:AS36))/SUM('Rev-Capacity'!AQ30:AS30))</f>
        <v/>
      </c>
      <c r="AT19" s="51">
        <f>IF(SUM('Rev-Capacity'!AR30:AT30)=0,"",(SUM('P&amp;L'!AR37:AT37)-SUM('P&amp;L'!AR36:AT36))/SUM('Rev-Capacity'!AR30:AT30))</f>
        <v/>
      </c>
      <c r="AU19" s="51">
        <f>IF(SUM('Rev-Capacity'!AS30:AU30)=0,"",(SUM('P&amp;L'!AS37:AU37)-SUM('P&amp;L'!AS36:AU36))/SUM('Rev-Capacity'!AS30:AU30))</f>
        <v/>
      </c>
      <c r="AV19" s="51">
        <f>IF(SUM('Rev-Capacity'!AT30:AV30)=0,"",(SUM('P&amp;L'!AT37:AV37)-SUM('P&amp;L'!AT36:AV36))/SUM('Rev-Capacity'!AT30:AV30))</f>
        <v/>
      </c>
      <c r="AW19" s="51">
        <f>IF(SUM('Rev-Capacity'!AU30:AW30)=0,"",(SUM('P&amp;L'!AU37:AW37)-SUM('P&amp;L'!AU36:AW36))/SUM('Rev-Capacity'!AU30:AW30))</f>
        <v/>
      </c>
      <c r="AX19" s="51">
        <f>IF(SUM('Rev-Capacity'!AV30:AX30)=0,"",(SUM('P&amp;L'!AV37:AX37)-SUM('P&amp;L'!AV36:AX36))/SUM('Rev-Capacity'!AV30:AX30))</f>
        <v/>
      </c>
      <c r="AY19" s="51">
        <f>IF(SUM('Rev-Capacity'!AW30:AY30)=0,"",(SUM('P&amp;L'!AW37:AY37)-SUM('P&amp;L'!AW36:AY36))/SUM('Rev-Capacity'!AW30:AY30))</f>
        <v/>
      </c>
      <c r="AZ19" s="51">
        <f>IF(SUM('Rev-Capacity'!AX30:AZ30)=0,"",(SUM('P&amp;L'!AX37:AZ37)-SUM('P&amp;L'!AX36:AZ36))/SUM('Rev-Capacity'!AX30:AZ30))</f>
        <v/>
      </c>
      <c r="BA19" s="51">
        <f>IF(SUM('Rev-Capacity'!AY30:BA30)=0,"",(SUM('P&amp;L'!AY37:BA37)-SUM('P&amp;L'!AY36:BA36))/SUM('Rev-Capacity'!AY30:BA30))</f>
        <v/>
      </c>
      <c r="BB19" s="51">
        <f>IF(SUM('Rev-Capacity'!AZ30:BB30)=0,"",(SUM('P&amp;L'!AZ37:BB37)-SUM('P&amp;L'!AZ36:BB36))/SUM('Rev-Capacity'!AZ30:BB30))</f>
        <v/>
      </c>
      <c r="BC19" s="51">
        <f>IF(SUM('Rev-Capacity'!BA30:BC30)=0,"",(SUM('P&amp;L'!BA37:BC37)-SUM('P&amp;L'!BA36:BC36))/SUM('Rev-Capacity'!BA30:BC30))</f>
        <v/>
      </c>
      <c r="BD19" s="51">
        <f>IF(SUM('Rev-Capacity'!BB30:BD30)=0,"",(SUM('P&amp;L'!BB37:BD37)-SUM('P&amp;L'!BB36:BD36))/SUM('Rev-Capacity'!BB30:BD30))</f>
        <v/>
      </c>
      <c r="BE19" s="51">
        <f>IF(SUM('Rev-Capacity'!BC30:BE30)=0,"",(SUM('P&amp;L'!BC37:BE37)-SUM('P&amp;L'!BC36:BE36))/SUM('Rev-Capacity'!BC30:BE30))</f>
        <v/>
      </c>
      <c r="BF19" s="51">
        <f>IF(SUM('Rev-Capacity'!BD30:BF30)=0,"",(SUM('P&amp;L'!BD37:BF37)-SUM('P&amp;L'!BD36:BF36))/SUM('Rev-Capacity'!BD30:BF30))</f>
        <v/>
      </c>
      <c r="BG19" s="51">
        <f>IF(SUM('Rev-Capacity'!BE30:BG30)=0,"",(SUM('P&amp;L'!BE37:BG37)-SUM('P&amp;L'!BE36:BG36))/SUM('Rev-Capacity'!BE30:BG30))</f>
        <v/>
      </c>
      <c r="BH19" s="51">
        <f>IF(SUM('Rev-Capacity'!BF30:BH30)=0,"",(SUM('P&amp;L'!BF37:BH37)-SUM('P&amp;L'!BF36:BH36))/SUM('Rev-Capacity'!BF30:BH30))</f>
        <v/>
      </c>
      <c r="BI19" s="51">
        <f>IF(SUM('Rev-Capacity'!BG30:BI30)=0,"",(SUM('P&amp;L'!BG37:BI37)-SUM('P&amp;L'!BG36:BI36))/SUM('Rev-Capacity'!BG30:BI30))</f>
        <v/>
      </c>
      <c r="BJ19" s="51">
        <f>IF(SUM('Rev-Capacity'!BH30:BJ30)=0,"",(SUM('P&amp;L'!BH37:BJ37)-SUM('P&amp;L'!BH36:BJ36))/SUM('Rev-Capacity'!BH30:BJ30))</f>
        <v/>
      </c>
      <c r="BK19" s="51">
        <f>IF(SUM('Rev-Capacity'!BI30:BK30)=0,"",(SUM('P&amp;L'!BI37:BK37)-SUM('P&amp;L'!BI36:BK36))/SUM('Rev-Capacity'!BI30:BK30))</f>
        <v/>
      </c>
      <c r="BM19" s="47">
        <f>O19</f>
        <v/>
      </c>
      <c r="BN19" s="47">
        <f>AA19</f>
        <v/>
      </c>
      <c r="BO19" s="47">
        <f>AM19</f>
        <v/>
      </c>
      <c r="BP19" s="47">
        <f>AY19</f>
        <v/>
      </c>
      <c r="BQ19" s="47">
        <f>BK19</f>
        <v/>
      </c>
    </row>
    <row r="20">
      <c r="B20" s="29" t="inlineStr">
        <is>
          <t xml:space="preserve">    CAC payback, new business</t>
        </is>
      </c>
      <c r="C20" s="19" t="inlineStr">
        <is>
          <t>months</t>
        </is>
      </c>
      <c r="D20" s="63">
        <f>""</f>
        <v/>
      </c>
      <c r="E20" s="63">
        <f>""</f>
        <v/>
      </c>
      <c r="F20" s="63">
        <f>""</f>
        <v/>
      </c>
      <c r="G20" s="63">
        <f>IF(SUM('Rev-Capacity'!E29:G29)*'P&amp;L'!G25=0,"",(SUM('P&amp;L'!E37:G37)-SUM('P&amp;L'!E36:G36))/(SUM('Rev-Capacity'!E29:G29)*'P&amp;L'!G25)*12)</f>
        <v/>
      </c>
      <c r="H20" s="63">
        <f>IF(SUM('Rev-Capacity'!F29:H29)*'P&amp;L'!H25=0,"",(SUM('P&amp;L'!F37:H37)-SUM('P&amp;L'!F36:H36))/(SUM('Rev-Capacity'!F29:H29)*'P&amp;L'!H25)*12)</f>
        <v/>
      </c>
      <c r="I20" s="63">
        <f>IF(SUM('Rev-Capacity'!G29:I29)*'P&amp;L'!I25=0,"",(SUM('P&amp;L'!G37:I37)-SUM('P&amp;L'!G36:I36))/(SUM('Rev-Capacity'!G29:I29)*'P&amp;L'!I25)*12)</f>
        <v/>
      </c>
      <c r="J20" s="63">
        <f>IF(SUM('Rev-Capacity'!H29:J29)*'P&amp;L'!J25=0,"",(SUM('P&amp;L'!H37:J37)-SUM('P&amp;L'!H36:J36))/(SUM('Rev-Capacity'!H29:J29)*'P&amp;L'!J25)*12)</f>
        <v/>
      </c>
      <c r="K20" s="63">
        <f>IF(SUM('Rev-Capacity'!I29:K29)*'P&amp;L'!K25=0,"",(SUM('P&amp;L'!I37:K37)-SUM('P&amp;L'!I36:K36))/(SUM('Rev-Capacity'!I29:K29)*'P&amp;L'!K25)*12)</f>
        <v/>
      </c>
      <c r="L20" s="63">
        <f>IF(SUM('Rev-Capacity'!J29:L29)*'P&amp;L'!L25=0,"",(SUM('P&amp;L'!J37:L37)-SUM('P&amp;L'!J36:L36))/(SUM('Rev-Capacity'!J29:L29)*'P&amp;L'!L25)*12)</f>
        <v/>
      </c>
      <c r="M20" s="63">
        <f>IF(SUM('Rev-Capacity'!K29:M29)*'P&amp;L'!M25=0,"",(SUM('P&amp;L'!K37:M37)-SUM('P&amp;L'!K36:M36))/(SUM('Rev-Capacity'!K29:M29)*'P&amp;L'!M25)*12)</f>
        <v/>
      </c>
      <c r="N20" s="63">
        <f>IF(SUM('Rev-Capacity'!L29:N29)*'P&amp;L'!N25=0,"",(SUM('P&amp;L'!L37:N37)-SUM('P&amp;L'!L36:N36))/(SUM('Rev-Capacity'!L29:N29)*'P&amp;L'!N25)*12)</f>
        <v/>
      </c>
      <c r="O20" s="63">
        <f>IF(SUM('Rev-Capacity'!M29:O29)*'P&amp;L'!O25=0,"",(SUM('P&amp;L'!M37:O37)-SUM('P&amp;L'!M36:O36))/(SUM('Rev-Capacity'!M29:O29)*'P&amp;L'!O25)*12)</f>
        <v/>
      </c>
      <c r="P20" s="63">
        <f>IF(SUM('Rev-Capacity'!N29:P29)*'P&amp;L'!P25=0,"",(SUM('P&amp;L'!N37:P37)-SUM('P&amp;L'!N36:P36))/(SUM('Rev-Capacity'!N29:P29)*'P&amp;L'!P25)*12)</f>
        <v/>
      </c>
      <c r="Q20" s="63">
        <f>IF(SUM('Rev-Capacity'!O29:Q29)*'P&amp;L'!Q25=0,"",(SUM('P&amp;L'!O37:Q37)-SUM('P&amp;L'!O36:Q36))/(SUM('Rev-Capacity'!O29:Q29)*'P&amp;L'!Q25)*12)</f>
        <v/>
      </c>
      <c r="R20" s="63">
        <f>IF(SUM('Rev-Capacity'!P29:R29)*'P&amp;L'!R25=0,"",(SUM('P&amp;L'!P37:R37)-SUM('P&amp;L'!P36:R36))/(SUM('Rev-Capacity'!P29:R29)*'P&amp;L'!R25)*12)</f>
        <v/>
      </c>
      <c r="S20" s="63">
        <f>IF(SUM('Rev-Capacity'!Q29:S29)*'P&amp;L'!S25=0,"",(SUM('P&amp;L'!Q37:S37)-SUM('P&amp;L'!Q36:S36))/(SUM('Rev-Capacity'!Q29:S29)*'P&amp;L'!S25)*12)</f>
        <v/>
      </c>
      <c r="T20" s="63">
        <f>IF(SUM('Rev-Capacity'!R29:T29)*'P&amp;L'!T25=0,"",(SUM('P&amp;L'!R37:T37)-SUM('P&amp;L'!R36:T36))/(SUM('Rev-Capacity'!R29:T29)*'P&amp;L'!T25)*12)</f>
        <v/>
      </c>
      <c r="U20" s="63">
        <f>IF(SUM('Rev-Capacity'!S29:U29)*'P&amp;L'!U25=0,"",(SUM('P&amp;L'!S37:U37)-SUM('P&amp;L'!S36:U36))/(SUM('Rev-Capacity'!S29:U29)*'P&amp;L'!U25)*12)</f>
        <v/>
      </c>
      <c r="V20" s="63">
        <f>IF(SUM('Rev-Capacity'!T29:V29)*'P&amp;L'!V25=0,"",(SUM('P&amp;L'!T37:V37)-SUM('P&amp;L'!T36:V36))/(SUM('Rev-Capacity'!T29:V29)*'P&amp;L'!V25)*12)</f>
        <v/>
      </c>
      <c r="W20" s="63">
        <f>IF(SUM('Rev-Capacity'!U29:W29)*'P&amp;L'!W25=0,"",(SUM('P&amp;L'!U37:W37)-SUM('P&amp;L'!U36:W36))/(SUM('Rev-Capacity'!U29:W29)*'P&amp;L'!W25)*12)</f>
        <v/>
      </c>
      <c r="X20" s="63">
        <f>IF(SUM('Rev-Capacity'!V29:X29)*'P&amp;L'!X25=0,"",(SUM('P&amp;L'!V37:X37)-SUM('P&amp;L'!V36:X36))/(SUM('Rev-Capacity'!V29:X29)*'P&amp;L'!X25)*12)</f>
        <v/>
      </c>
      <c r="Y20" s="63">
        <f>IF(SUM('Rev-Capacity'!W29:Y29)*'P&amp;L'!Y25=0,"",(SUM('P&amp;L'!W37:Y37)-SUM('P&amp;L'!W36:Y36))/(SUM('Rev-Capacity'!W29:Y29)*'P&amp;L'!Y25)*12)</f>
        <v/>
      </c>
      <c r="Z20" s="63">
        <f>IF(SUM('Rev-Capacity'!X29:Z29)*'P&amp;L'!Z25=0,"",(SUM('P&amp;L'!X37:Z37)-SUM('P&amp;L'!X36:Z36))/(SUM('Rev-Capacity'!X29:Z29)*'P&amp;L'!Z25)*12)</f>
        <v/>
      </c>
      <c r="AA20" s="63">
        <f>IF(SUM('Rev-Capacity'!Y29:AA29)*'P&amp;L'!AA25=0,"",(SUM('P&amp;L'!Y37:AA37)-SUM('P&amp;L'!Y36:AA36))/(SUM('Rev-Capacity'!Y29:AA29)*'P&amp;L'!AA25)*12)</f>
        <v/>
      </c>
      <c r="AB20" s="63">
        <f>IF(SUM('Rev-Capacity'!Z29:AB29)*'P&amp;L'!AB25=0,"",(SUM('P&amp;L'!Z37:AB37)-SUM('P&amp;L'!Z36:AB36))/(SUM('Rev-Capacity'!Z29:AB29)*'P&amp;L'!AB25)*12)</f>
        <v/>
      </c>
      <c r="AC20" s="63">
        <f>IF(SUM('Rev-Capacity'!AA29:AC29)*'P&amp;L'!AC25=0,"",(SUM('P&amp;L'!AA37:AC37)-SUM('P&amp;L'!AA36:AC36))/(SUM('Rev-Capacity'!AA29:AC29)*'P&amp;L'!AC25)*12)</f>
        <v/>
      </c>
      <c r="AD20" s="63">
        <f>IF(SUM('Rev-Capacity'!AB29:AD29)*'P&amp;L'!AD25=0,"",(SUM('P&amp;L'!AB37:AD37)-SUM('P&amp;L'!AB36:AD36))/(SUM('Rev-Capacity'!AB29:AD29)*'P&amp;L'!AD25)*12)</f>
        <v/>
      </c>
      <c r="AE20" s="63">
        <f>IF(SUM('Rev-Capacity'!AC29:AE29)*'P&amp;L'!AE25=0,"",(SUM('P&amp;L'!AC37:AE37)-SUM('P&amp;L'!AC36:AE36))/(SUM('Rev-Capacity'!AC29:AE29)*'P&amp;L'!AE25)*12)</f>
        <v/>
      </c>
      <c r="AF20" s="63">
        <f>IF(SUM('Rev-Capacity'!AD29:AF29)*'P&amp;L'!AF25=0,"",(SUM('P&amp;L'!AD37:AF37)-SUM('P&amp;L'!AD36:AF36))/(SUM('Rev-Capacity'!AD29:AF29)*'P&amp;L'!AF25)*12)</f>
        <v/>
      </c>
      <c r="AG20" s="63">
        <f>IF(SUM('Rev-Capacity'!AE29:AG29)*'P&amp;L'!AG25=0,"",(SUM('P&amp;L'!AE37:AG37)-SUM('P&amp;L'!AE36:AG36))/(SUM('Rev-Capacity'!AE29:AG29)*'P&amp;L'!AG25)*12)</f>
        <v/>
      </c>
      <c r="AH20" s="63">
        <f>IF(SUM('Rev-Capacity'!AF29:AH29)*'P&amp;L'!AH25=0,"",(SUM('P&amp;L'!AF37:AH37)-SUM('P&amp;L'!AF36:AH36))/(SUM('Rev-Capacity'!AF29:AH29)*'P&amp;L'!AH25)*12)</f>
        <v/>
      </c>
      <c r="AI20" s="63">
        <f>IF(SUM('Rev-Capacity'!AG29:AI29)*'P&amp;L'!AI25=0,"",(SUM('P&amp;L'!AG37:AI37)-SUM('P&amp;L'!AG36:AI36))/(SUM('Rev-Capacity'!AG29:AI29)*'P&amp;L'!AI25)*12)</f>
        <v/>
      </c>
      <c r="AJ20" s="63">
        <f>IF(SUM('Rev-Capacity'!AH29:AJ29)*'P&amp;L'!AJ25=0,"",(SUM('P&amp;L'!AH37:AJ37)-SUM('P&amp;L'!AH36:AJ36))/(SUM('Rev-Capacity'!AH29:AJ29)*'P&amp;L'!AJ25)*12)</f>
        <v/>
      </c>
      <c r="AK20" s="63">
        <f>IF(SUM('Rev-Capacity'!AI29:AK29)*'P&amp;L'!AK25=0,"",(SUM('P&amp;L'!AI37:AK37)-SUM('P&amp;L'!AI36:AK36))/(SUM('Rev-Capacity'!AI29:AK29)*'P&amp;L'!AK25)*12)</f>
        <v/>
      </c>
      <c r="AL20" s="63">
        <f>IF(SUM('Rev-Capacity'!AJ29:AL29)*'P&amp;L'!AL25=0,"",(SUM('P&amp;L'!AJ37:AL37)-SUM('P&amp;L'!AJ36:AL36))/(SUM('Rev-Capacity'!AJ29:AL29)*'P&amp;L'!AL25)*12)</f>
        <v/>
      </c>
      <c r="AM20" s="63">
        <f>IF(SUM('Rev-Capacity'!AK29:AM29)*'P&amp;L'!AM25=0,"",(SUM('P&amp;L'!AK37:AM37)-SUM('P&amp;L'!AK36:AM36))/(SUM('Rev-Capacity'!AK29:AM29)*'P&amp;L'!AM25)*12)</f>
        <v/>
      </c>
      <c r="AN20" s="63">
        <f>IF(SUM('Rev-Capacity'!AL29:AN29)*'P&amp;L'!AN25=0,"",(SUM('P&amp;L'!AL37:AN37)-SUM('P&amp;L'!AL36:AN36))/(SUM('Rev-Capacity'!AL29:AN29)*'P&amp;L'!AN25)*12)</f>
        <v/>
      </c>
      <c r="AO20" s="63">
        <f>IF(SUM('Rev-Capacity'!AM29:AO29)*'P&amp;L'!AO25=0,"",(SUM('P&amp;L'!AM37:AO37)-SUM('P&amp;L'!AM36:AO36))/(SUM('Rev-Capacity'!AM29:AO29)*'P&amp;L'!AO25)*12)</f>
        <v/>
      </c>
      <c r="AP20" s="63">
        <f>IF(SUM('Rev-Capacity'!AN29:AP29)*'P&amp;L'!AP25=0,"",(SUM('P&amp;L'!AN37:AP37)-SUM('P&amp;L'!AN36:AP36))/(SUM('Rev-Capacity'!AN29:AP29)*'P&amp;L'!AP25)*12)</f>
        <v/>
      </c>
      <c r="AQ20" s="63">
        <f>IF(SUM('Rev-Capacity'!AO29:AQ29)*'P&amp;L'!AQ25=0,"",(SUM('P&amp;L'!AO37:AQ37)-SUM('P&amp;L'!AO36:AQ36))/(SUM('Rev-Capacity'!AO29:AQ29)*'P&amp;L'!AQ25)*12)</f>
        <v/>
      </c>
      <c r="AR20" s="63">
        <f>IF(SUM('Rev-Capacity'!AP29:AR29)*'P&amp;L'!AR25=0,"",(SUM('P&amp;L'!AP37:AR37)-SUM('P&amp;L'!AP36:AR36))/(SUM('Rev-Capacity'!AP29:AR29)*'P&amp;L'!AR25)*12)</f>
        <v/>
      </c>
      <c r="AS20" s="63">
        <f>IF(SUM('Rev-Capacity'!AQ29:AS29)*'P&amp;L'!AS25=0,"",(SUM('P&amp;L'!AQ37:AS37)-SUM('P&amp;L'!AQ36:AS36))/(SUM('Rev-Capacity'!AQ29:AS29)*'P&amp;L'!AS25)*12)</f>
        <v/>
      </c>
      <c r="AT20" s="63">
        <f>IF(SUM('Rev-Capacity'!AR29:AT29)*'P&amp;L'!AT25=0,"",(SUM('P&amp;L'!AR37:AT37)-SUM('P&amp;L'!AR36:AT36))/(SUM('Rev-Capacity'!AR29:AT29)*'P&amp;L'!AT25)*12)</f>
        <v/>
      </c>
      <c r="AU20" s="63">
        <f>IF(SUM('Rev-Capacity'!AS29:AU29)*'P&amp;L'!AU25=0,"",(SUM('P&amp;L'!AS37:AU37)-SUM('P&amp;L'!AS36:AU36))/(SUM('Rev-Capacity'!AS29:AU29)*'P&amp;L'!AU25)*12)</f>
        <v/>
      </c>
      <c r="AV20" s="63">
        <f>IF(SUM('Rev-Capacity'!AT29:AV29)*'P&amp;L'!AV25=0,"",(SUM('P&amp;L'!AT37:AV37)-SUM('P&amp;L'!AT36:AV36))/(SUM('Rev-Capacity'!AT29:AV29)*'P&amp;L'!AV25)*12)</f>
        <v/>
      </c>
      <c r="AW20" s="63">
        <f>IF(SUM('Rev-Capacity'!AU29:AW29)*'P&amp;L'!AW25=0,"",(SUM('P&amp;L'!AU37:AW37)-SUM('P&amp;L'!AU36:AW36))/(SUM('Rev-Capacity'!AU29:AW29)*'P&amp;L'!AW25)*12)</f>
        <v/>
      </c>
      <c r="AX20" s="63">
        <f>IF(SUM('Rev-Capacity'!AV29:AX29)*'P&amp;L'!AX25=0,"",(SUM('P&amp;L'!AV37:AX37)-SUM('P&amp;L'!AV36:AX36))/(SUM('Rev-Capacity'!AV29:AX29)*'P&amp;L'!AX25)*12)</f>
        <v/>
      </c>
      <c r="AY20" s="63">
        <f>IF(SUM('Rev-Capacity'!AW29:AY29)*'P&amp;L'!AY25=0,"",(SUM('P&amp;L'!AW37:AY37)-SUM('P&amp;L'!AW36:AY36))/(SUM('Rev-Capacity'!AW29:AY29)*'P&amp;L'!AY25)*12)</f>
        <v/>
      </c>
      <c r="AZ20" s="63">
        <f>IF(SUM('Rev-Capacity'!AX29:AZ29)*'P&amp;L'!AZ25=0,"",(SUM('P&amp;L'!AX37:AZ37)-SUM('P&amp;L'!AX36:AZ36))/(SUM('Rev-Capacity'!AX29:AZ29)*'P&amp;L'!AZ25)*12)</f>
        <v/>
      </c>
      <c r="BA20" s="63">
        <f>IF(SUM('Rev-Capacity'!AY29:BA29)*'P&amp;L'!BA25=0,"",(SUM('P&amp;L'!AY37:BA37)-SUM('P&amp;L'!AY36:BA36))/(SUM('Rev-Capacity'!AY29:BA29)*'P&amp;L'!BA25)*12)</f>
        <v/>
      </c>
      <c r="BB20" s="63">
        <f>IF(SUM('Rev-Capacity'!AZ29:BB29)*'P&amp;L'!BB25=0,"",(SUM('P&amp;L'!AZ37:BB37)-SUM('P&amp;L'!AZ36:BB36))/(SUM('Rev-Capacity'!AZ29:BB29)*'P&amp;L'!BB25)*12)</f>
        <v/>
      </c>
      <c r="BC20" s="63">
        <f>IF(SUM('Rev-Capacity'!BA29:BC29)*'P&amp;L'!BC25=0,"",(SUM('P&amp;L'!BA37:BC37)-SUM('P&amp;L'!BA36:BC36))/(SUM('Rev-Capacity'!BA29:BC29)*'P&amp;L'!BC25)*12)</f>
        <v/>
      </c>
      <c r="BD20" s="63">
        <f>IF(SUM('Rev-Capacity'!BB29:BD29)*'P&amp;L'!BD25=0,"",(SUM('P&amp;L'!BB37:BD37)-SUM('P&amp;L'!BB36:BD36))/(SUM('Rev-Capacity'!BB29:BD29)*'P&amp;L'!BD25)*12)</f>
        <v/>
      </c>
      <c r="BE20" s="63">
        <f>IF(SUM('Rev-Capacity'!BC29:BE29)*'P&amp;L'!BE25=0,"",(SUM('P&amp;L'!BC37:BE37)-SUM('P&amp;L'!BC36:BE36))/(SUM('Rev-Capacity'!BC29:BE29)*'P&amp;L'!BE25)*12)</f>
        <v/>
      </c>
      <c r="BF20" s="63">
        <f>IF(SUM('Rev-Capacity'!BD29:BF29)*'P&amp;L'!BF25=0,"",(SUM('P&amp;L'!BD37:BF37)-SUM('P&amp;L'!BD36:BF36))/(SUM('Rev-Capacity'!BD29:BF29)*'P&amp;L'!BF25)*12)</f>
        <v/>
      </c>
      <c r="BG20" s="63">
        <f>IF(SUM('Rev-Capacity'!BE29:BG29)*'P&amp;L'!BG25=0,"",(SUM('P&amp;L'!BE37:BG37)-SUM('P&amp;L'!BE36:BG36))/(SUM('Rev-Capacity'!BE29:BG29)*'P&amp;L'!BG25)*12)</f>
        <v/>
      </c>
      <c r="BH20" s="63">
        <f>IF(SUM('Rev-Capacity'!BF29:BH29)*'P&amp;L'!BH25=0,"",(SUM('P&amp;L'!BF37:BH37)-SUM('P&amp;L'!BF36:BH36))/(SUM('Rev-Capacity'!BF29:BH29)*'P&amp;L'!BH25)*12)</f>
        <v/>
      </c>
      <c r="BI20" s="63">
        <f>IF(SUM('Rev-Capacity'!BG29:BI29)*'P&amp;L'!BI25=0,"",(SUM('P&amp;L'!BG37:BI37)-SUM('P&amp;L'!BG36:BI36))/(SUM('Rev-Capacity'!BG29:BI29)*'P&amp;L'!BI25)*12)</f>
        <v/>
      </c>
      <c r="BJ20" s="63">
        <f>IF(SUM('Rev-Capacity'!BH29:BJ29)*'P&amp;L'!BJ25=0,"",(SUM('P&amp;L'!BH37:BJ37)-SUM('P&amp;L'!BH36:BJ36))/(SUM('Rev-Capacity'!BH29:BJ29)*'P&amp;L'!BJ25)*12)</f>
        <v/>
      </c>
      <c r="BK20" s="63">
        <f>IF(SUM('Rev-Capacity'!BI29:BK29)*'P&amp;L'!BK25=0,"",(SUM('P&amp;L'!BI37:BK37)-SUM('P&amp;L'!BI36:BK36))/(SUM('Rev-Capacity'!BI29:BK29)*'P&amp;L'!BK25)*12)</f>
        <v/>
      </c>
      <c r="BM20" s="43">
        <f>O20</f>
        <v/>
      </c>
      <c r="BN20" s="43">
        <f>AA20</f>
        <v/>
      </c>
      <c r="BO20" s="43">
        <f>AM20</f>
        <v/>
      </c>
      <c r="BP20" s="43">
        <f>AY20</f>
        <v/>
      </c>
      <c r="BQ20" s="43">
        <f>BK20</f>
        <v/>
      </c>
    </row>
    <row r="21">
      <c r="B21" s="18" t="inlineStr">
        <is>
          <t xml:space="preserve">    CAC payback, blended</t>
        </is>
      </c>
      <c r="C21" s="19" t="inlineStr">
        <is>
          <t>months</t>
        </is>
      </c>
      <c r="D21" s="42">
        <f>""</f>
        <v/>
      </c>
      <c r="E21" s="42">
        <f>""</f>
        <v/>
      </c>
      <c r="F21" s="42">
        <f>""</f>
        <v/>
      </c>
      <c r="G21" s="42">
        <f>IF(SUM('Rev-Capacity'!E29:G29)*'P&amp;L'!G25=0,"",SUM('P&amp;L'!E37:G37)/(SUM('Rev-Capacity'!E29:G29)*'P&amp;L'!G25)*12)</f>
        <v/>
      </c>
      <c r="H21" s="42">
        <f>IF(SUM('Rev-Capacity'!F29:H29)*'P&amp;L'!H25=0,"",SUM('P&amp;L'!F37:H37)/(SUM('Rev-Capacity'!F29:H29)*'P&amp;L'!H25)*12)</f>
        <v/>
      </c>
      <c r="I21" s="42">
        <f>IF(SUM('Rev-Capacity'!G29:I29)*'P&amp;L'!I25=0,"",SUM('P&amp;L'!G37:I37)/(SUM('Rev-Capacity'!G29:I29)*'P&amp;L'!I25)*12)</f>
        <v/>
      </c>
      <c r="J21" s="42">
        <f>IF(SUM('Rev-Capacity'!H29:J29)*'P&amp;L'!J25=0,"",SUM('P&amp;L'!H37:J37)/(SUM('Rev-Capacity'!H29:J29)*'P&amp;L'!J25)*12)</f>
        <v/>
      </c>
      <c r="K21" s="42">
        <f>IF(SUM('Rev-Capacity'!I29:K29)*'P&amp;L'!K25=0,"",SUM('P&amp;L'!I37:K37)/(SUM('Rev-Capacity'!I29:K29)*'P&amp;L'!K25)*12)</f>
        <v/>
      </c>
      <c r="L21" s="42">
        <f>IF(SUM('Rev-Capacity'!J29:L29)*'P&amp;L'!L25=0,"",SUM('P&amp;L'!J37:L37)/(SUM('Rev-Capacity'!J29:L29)*'P&amp;L'!L25)*12)</f>
        <v/>
      </c>
      <c r="M21" s="42">
        <f>IF(SUM('Rev-Capacity'!K29:M29)*'P&amp;L'!M25=0,"",SUM('P&amp;L'!K37:M37)/(SUM('Rev-Capacity'!K29:M29)*'P&amp;L'!M25)*12)</f>
        <v/>
      </c>
      <c r="N21" s="42">
        <f>IF(SUM('Rev-Capacity'!L29:N29)*'P&amp;L'!N25=0,"",SUM('P&amp;L'!L37:N37)/(SUM('Rev-Capacity'!L29:N29)*'P&amp;L'!N25)*12)</f>
        <v/>
      </c>
      <c r="O21" s="42">
        <f>IF(SUM('Rev-Capacity'!M29:O29)*'P&amp;L'!O25=0,"",SUM('P&amp;L'!M37:O37)/(SUM('Rev-Capacity'!M29:O29)*'P&amp;L'!O25)*12)</f>
        <v/>
      </c>
      <c r="P21" s="42">
        <f>IF(SUM('Rev-Capacity'!N29:P29)*'P&amp;L'!P25=0,"",SUM('P&amp;L'!N37:P37)/(SUM('Rev-Capacity'!N29:P29)*'P&amp;L'!P25)*12)</f>
        <v/>
      </c>
      <c r="Q21" s="42">
        <f>IF(SUM('Rev-Capacity'!O29:Q29)*'P&amp;L'!Q25=0,"",SUM('P&amp;L'!O37:Q37)/(SUM('Rev-Capacity'!O29:Q29)*'P&amp;L'!Q25)*12)</f>
        <v/>
      </c>
      <c r="R21" s="42">
        <f>IF(SUM('Rev-Capacity'!P29:R29)*'P&amp;L'!R25=0,"",SUM('P&amp;L'!P37:R37)/(SUM('Rev-Capacity'!P29:R29)*'P&amp;L'!R25)*12)</f>
        <v/>
      </c>
      <c r="S21" s="42">
        <f>IF(SUM('Rev-Capacity'!Q29:S29)*'P&amp;L'!S25=0,"",SUM('P&amp;L'!Q37:S37)/(SUM('Rev-Capacity'!Q29:S29)*'P&amp;L'!S25)*12)</f>
        <v/>
      </c>
      <c r="T21" s="42">
        <f>IF(SUM('Rev-Capacity'!R29:T29)*'P&amp;L'!T25=0,"",SUM('P&amp;L'!R37:T37)/(SUM('Rev-Capacity'!R29:T29)*'P&amp;L'!T25)*12)</f>
        <v/>
      </c>
      <c r="U21" s="42">
        <f>IF(SUM('Rev-Capacity'!S29:U29)*'P&amp;L'!U25=0,"",SUM('P&amp;L'!S37:U37)/(SUM('Rev-Capacity'!S29:U29)*'P&amp;L'!U25)*12)</f>
        <v/>
      </c>
      <c r="V21" s="42">
        <f>IF(SUM('Rev-Capacity'!T29:V29)*'P&amp;L'!V25=0,"",SUM('P&amp;L'!T37:V37)/(SUM('Rev-Capacity'!T29:V29)*'P&amp;L'!V25)*12)</f>
        <v/>
      </c>
      <c r="W21" s="42">
        <f>IF(SUM('Rev-Capacity'!U29:W29)*'P&amp;L'!W25=0,"",SUM('P&amp;L'!U37:W37)/(SUM('Rev-Capacity'!U29:W29)*'P&amp;L'!W25)*12)</f>
        <v/>
      </c>
      <c r="X21" s="42">
        <f>IF(SUM('Rev-Capacity'!V29:X29)*'P&amp;L'!X25=0,"",SUM('P&amp;L'!V37:X37)/(SUM('Rev-Capacity'!V29:X29)*'P&amp;L'!X25)*12)</f>
        <v/>
      </c>
      <c r="Y21" s="42">
        <f>IF(SUM('Rev-Capacity'!W29:Y29)*'P&amp;L'!Y25=0,"",SUM('P&amp;L'!W37:Y37)/(SUM('Rev-Capacity'!W29:Y29)*'P&amp;L'!Y25)*12)</f>
        <v/>
      </c>
      <c r="Z21" s="42">
        <f>IF(SUM('Rev-Capacity'!X29:Z29)*'P&amp;L'!Z25=0,"",SUM('P&amp;L'!X37:Z37)/(SUM('Rev-Capacity'!X29:Z29)*'P&amp;L'!Z25)*12)</f>
        <v/>
      </c>
      <c r="AA21" s="42">
        <f>IF(SUM('Rev-Capacity'!Y29:AA29)*'P&amp;L'!AA25=0,"",SUM('P&amp;L'!Y37:AA37)/(SUM('Rev-Capacity'!Y29:AA29)*'P&amp;L'!AA25)*12)</f>
        <v/>
      </c>
      <c r="AB21" s="42">
        <f>IF(SUM('Rev-Capacity'!Z29:AB29)*'P&amp;L'!AB25=0,"",SUM('P&amp;L'!Z37:AB37)/(SUM('Rev-Capacity'!Z29:AB29)*'P&amp;L'!AB25)*12)</f>
        <v/>
      </c>
      <c r="AC21" s="42">
        <f>IF(SUM('Rev-Capacity'!AA29:AC29)*'P&amp;L'!AC25=0,"",SUM('P&amp;L'!AA37:AC37)/(SUM('Rev-Capacity'!AA29:AC29)*'P&amp;L'!AC25)*12)</f>
        <v/>
      </c>
      <c r="AD21" s="42">
        <f>IF(SUM('Rev-Capacity'!AB29:AD29)*'P&amp;L'!AD25=0,"",SUM('P&amp;L'!AB37:AD37)/(SUM('Rev-Capacity'!AB29:AD29)*'P&amp;L'!AD25)*12)</f>
        <v/>
      </c>
      <c r="AE21" s="42">
        <f>IF(SUM('Rev-Capacity'!AC29:AE29)*'P&amp;L'!AE25=0,"",SUM('P&amp;L'!AC37:AE37)/(SUM('Rev-Capacity'!AC29:AE29)*'P&amp;L'!AE25)*12)</f>
        <v/>
      </c>
      <c r="AF21" s="42">
        <f>IF(SUM('Rev-Capacity'!AD29:AF29)*'P&amp;L'!AF25=0,"",SUM('P&amp;L'!AD37:AF37)/(SUM('Rev-Capacity'!AD29:AF29)*'P&amp;L'!AF25)*12)</f>
        <v/>
      </c>
      <c r="AG21" s="42">
        <f>IF(SUM('Rev-Capacity'!AE29:AG29)*'P&amp;L'!AG25=0,"",SUM('P&amp;L'!AE37:AG37)/(SUM('Rev-Capacity'!AE29:AG29)*'P&amp;L'!AG25)*12)</f>
        <v/>
      </c>
      <c r="AH21" s="42">
        <f>IF(SUM('Rev-Capacity'!AF29:AH29)*'P&amp;L'!AH25=0,"",SUM('P&amp;L'!AF37:AH37)/(SUM('Rev-Capacity'!AF29:AH29)*'P&amp;L'!AH25)*12)</f>
        <v/>
      </c>
      <c r="AI21" s="42">
        <f>IF(SUM('Rev-Capacity'!AG29:AI29)*'P&amp;L'!AI25=0,"",SUM('P&amp;L'!AG37:AI37)/(SUM('Rev-Capacity'!AG29:AI29)*'P&amp;L'!AI25)*12)</f>
        <v/>
      </c>
      <c r="AJ21" s="42">
        <f>IF(SUM('Rev-Capacity'!AH29:AJ29)*'P&amp;L'!AJ25=0,"",SUM('P&amp;L'!AH37:AJ37)/(SUM('Rev-Capacity'!AH29:AJ29)*'P&amp;L'!AJ25)*12)</f>
        <v/>
      </c>
      <c r="AK21" s="42">
        <f>IF(SUM('Rev-Capacity'!AI29:AK29)*'P&amp;L'!AK25=0,"",SUM('P&amp;L'!AI37:AK37)/(SUM('Rev-Capacity'!AI29:AK29)*'P&amp;L'!AK25)*12)</f>
        <v/>
      </c>
      <c r="AL21" s="42">
        <f>IF(SUM('Rev-Capacity'!AJ29:AL29)*'P&amp;L'!AL25=0,"",SUM('P&amp;L'!AJ37:AL37)/(SUM('Rev-Capacity'!AJ29:AL29)*'P&amp;L'!AL25)*12)</f>
        <v/>
      </c>
      <c r="AM21" s="42">
        <f>IF(SUM('Rev-Capacity'!AK29:AM29)*'P&amp;L'!AM25=0,"",SUM('P&amp;L'!AK37:AM37)/(SUM('Rev-Capacity'!AK29:AM29)*'P&amp;L'!AM25)*12)</f>
        <v/>
      </c>
      <c r="AN21" s="42">
        <f>IF(SUM('Rev-Capacity'!AL29:AN29)*'P&amp;L'!AN25=0,"",SUM('P&amp;L'!AL37:AN37)/(SUM('Rev-Capacity'!AL29:AN29)*'P&amp;L'!AN25)*12)</f>
        <v/>
      </c>
      <c r="AO21" s="42">
        <f>IF(SUM('Rev-Capacity'!AM29:AO29)*'P&amp;L'!AO25=0,"",SUM('P&amp;L'!AM37:AO37)/(SUM('Rev-Capacity'!AM29:AO29)*'P&amp;L'!AO25)*12)</f>
        <v/>
      </c>
      <c r="AP21" s="42">
        <f>IF(SUM('Rev-Capacity'!AN29:AP29)*'P&amp;L'!AP25=0,"",SUM('P&amp;L'!AN37:AP37)/(SUM('Rev-Capacity'!AN29:AP29)*'P&amp;L'!AP25)*12)</f>
        <v/>
      </c>
      <c r="AQ21" s="42">
        <f>IF(SUM('Rev-Capacity'!AO29:AQ29)*'P&amp;L'!AQ25=0,"",SUM('P&amp;L'!AO37:AQ37)/(SUM('Rev-Capacity'!AO29:AQ29)*'P&amp;L'!AQ25)*12)</f>
        <v/>
      </c>
      <c r="AR21" s="42">
        <f>IF(SUM('Rev-Capacity'!AP29:AR29)*'P&amp;L'!AR25=0,"",SUM('P&amp;L'!AP37:AR37)/(SUM('Rev-Capacity'!AP29:AR29)*'P&amp;L'!AR25)*12)</f>
        <v/>
      </c>
      <c r="AS21" s="42">
        <f>IF(SUM('Rev-Capacity'!AQ29:AS29)*'P&amp;L'!AS25=0,"",SUM('P&amp;L'!AQ37:AS37)/(SUM('Rev-Capacity'!AQ29:AS29)*'P&amp;L'!AS25)*12)</f>
        <v/>
      </c>
      <c r="AT21" s="42">
        <f>IF(SUM('Rev-Capacity'!AR29:AT29)*'P&amp;L'!AT25=0,"",SUM('P&amp;L'!AR37:AT37)/(SUM('Rev-Capacity'!AR29:AT29)*'P&amp;L'!AT25)*12)</f>
        <v/>
      </c>
      <c r="AU21" s="42">
        <f>IF(SUM('Rev-Capacity'!AS29:AU29)*'P&amp;L'!AU25=0,"",SUM('P&amp;L'!AS37:AU37)/(SUM('Rev-Capacity'!AS29:AU29)*'P&amp;L'!AU25)*12)</f>
        <v/>
      </c>
      <c r="AV21" s="42">
        <f>IF(SUM('Rev-Capacity'!AT29:AV29)*'P&amp;L'!AV25=0,"",SUM('P&amp;L'!AT37:AV37)/(SUM('Rev-Capacity'!AT29:AV29)*'P&amp;L'!AV25)*12)</f>
        <v/>
      </c>
      <c r="AW21" s="42">
        <f>IF(SUM('Rev-Capacity'!AU29:AW29)*'P&amp;L'!AW25=0,"",SUM('P&amp;L'!AU37:AW37)/(SUM('Rev-Capacity'!AU29:AW29)*'P&amp;L'!AW25)*12)</f>
        <v/>
      </c>
      <c r="AX21" s="42">
        <f>IF(SUM('Rev-Capacity'!AV29:AX29)*'P&amp;L'!AX25=0,"",SUM('P&amp;L'!AV37:AX37)/(SUM('Rev-Capacity'!AV29:AX29)*'P&amp;L'!AX25)*12)</f>
        <v/>
      </c>
      <c r="AY21" s="42">
        <f>IF(SUM('Rev-Capacity'!AW29:AY29)*'P&amp;L'!AY25=0,"",SUM('P&amp;L'!AW37:AY37)/(SUM('Rev-Capacity'!AW29:AY29)*'P&amp;L'!AY25)*12)</f>
        <v/>
      </c>
      <c r="AZ21" s="42">
        <f>IF(SUM('Rev-Capacity'!AX29:AZ29)*'P&amp;L'!AZ25=0,"",SUM('P&amp;L'!AX37:AZ37)/(SUM('Rev-Capacity'!AX29:AZ29)*'P&amp;L'!AZ25)*12)</f>
        <v/>
      </c>
      <c r="BA21" s="42">
        <f>IF(SUM('Rev-Capacity'!AY29:BA29)*'P&amp;L'!BA25=0,"",SUM('P&amp;L'!AY37:BA37)/(SUM('Rev-Capacity'!AY29:BA29)*'P&amp;L'!BA25)*12)</f>
        <v/>
      </c>
      <c r="BB21" s="42">
        <f>IF(SUM('Rev-Capacity'!AZ29:BB29)*'P&amp;L'!BB25=0,"",SUM('P&amp;L'!AZ37:BB37)/(SUM('Rev-Capacity'!AZ29:BB29)*'P&amp;L'!BB25)*12)</f>
        <v/>
      </c>
      <c r="BC21" s="42">
        <f>IF(SUM('Rev-Capacity'!BA29:BC29)*'P&amp;L'!BC25=0,"",SUM('P&amp;L'!BA37:BC37)/(SUM('Rev-Capacity'!BA29:BC29)*'P&amp;L'!BC25)*12)</f>
        <v/>
      </c>
      <c r="BD21" s="42">
        <f>IF(SUM('Rev-Capacity'!BB29:BD29)*'P&amp;L'!BD25=0,"",SUM('P&amp;L'!BB37:BD37)/(SUM('Rev-Capacity'!BB29:BD29)*'P&amp;L'!BD25)*12)</f>
        <v/>
      </c>
      <c r="BE21" s="42">
        <f>IF(SUM('Rev-Capacity'!BC29:BE29)*'P&amp;L'!BE25=0,"",SUM('P&amp;L'!BC37:BE37)/(SUM('Rev-Capacity'!BC29:BE29)*'P&amp;L'!BE25)*12)</f>
        <v/>
      </c>
      <c r="BF21" s="42">
        <f>IF(SUM('Rev-Capacity'!BD29:BF29)*'P&amp;L'!BF25=0,"",SUM('P&amp;L'!BD37:BF37)/(SUM('Rev-Capacity'!BD29:BF29)*'P&amp;L'!BF25)*12)</f>
        <v/>
      </c>
      <c r="BG21" s="42">
        <f>IF(SUM('Rev-Capacity'!BE29:BG29)*'P&amp;L'!BG25=0,"",SUM('P&amp;L'!BE37:BG37)/(SUM('Rev-Capacity'!BE29:BG29)*'P&amp;L'!BG25)*12)</f>
        <v/>
      </c>
      <c r="BH21" s="42">
        <f>IF(SUM('Rev-Capacity'!BF29:BH29)*'P&amp;L'!BH25=0,"",SUM('P&amp;L'!BF37:BH37)/(SUM('Rev-Capacity'!BF29:BH29)*'P&amp;L'!BH25)*12)</f>
        <v/>
      </c>
      <c r="BI21" s="42">
        <f>IF(SUM('Rev-Capacity'!BG29:BI29)*'P&amp;L'!BI25=0,"",SUM('P&amp;L'!BG37:BI37)/(SUM('Rev-Capacity'!BG29:BI29)*'P&amp;L'!BI25)*12)</f>
        <v/>
      </c>
      <c r="BJ21" s="42">
        <f>IF(SUM('Rev-Capacity'!BH29:BJ29)*'P&amp;L'!BJ25=0,"",SUM('P&amp;L'!BH37:BJ37)/(SUM('Rev-Capacity'!BH29:BJ29)*'P&amp;L'!BJ25)*12)</f>
        <v/>
      </c>
      <c r="BK21" s="42">
        <f>IF(SUM('Rev-Capacity'!BI29:BK29)*'P&amp;L'!BK25=0,"",SUM('P&amp;L'!BI37:BK37)/(SUM('Rev-Capacity'!BI29:BK29)*'P&amp;L'!BK25)*12)</f>
        <v/>
      </c>
      <c r="BM21" s="43">
        <f>O21</f>
        <v/>
      </c>
      <c r="BN21" s="43">
        <f>AA21</f>
        <v/>
      </c>
      <c r="BO21" s="43">
        <f>AM21</f>
        <v/>
      </c>
      <c r="BP21" s="43">
        <f>AY21</f>
        <v/>
      </c>
      <c r="BQ21" s="43">
        <f>BK21</f>
        <v/>
      </c>
    </row>
    <row r="22">
      <c r="B22" s="23" t="n"/>
    </row>
    <row r="23">
      <c r="B23" s="18" t="inlineStr">
        <is>
          <t xml:space="preserve">    Magic number</t>
        </is>
      </c>
      <c r="C23" s="19" t="inlineStr">
        <is>
          <t>x</t>
        </is>
      </c>
      <c r="D23" s="64">
        <f>""</f>
        <v/>
      </c>
      <c r="E23" s="64">
        <f>""</f>
        <v/>
      </c>
      <c r="F23" s="64">
        <f>""</f>
        <v/>
      </c>
      <c r="G23" s="64">
        <f>""</f>
        <v/>
      </c>
      <c r="H23" s="64">
        <f>""</f>
        <v/>
      </c>
      <c r="I23" s="64">
        <f>""</f>
        <v/>
      </c>
      <c r="J23" s="64">
        <f>(SUM('P&amp;L'!H13:J13)-SUM('P&amp;L'!E13:G13))*4/SUM('P&amp;L'!E37:G37)</f>
        <v/>
      </c>
      <c r="K23" s="64">
        <f>(SUM('P&amp;L'!I13:K13)-SUM('P&amp;L'!F13:H13))*4/SUM('P&amp;L'!F37:H37)</f>
        <v/>
      </c>
      <c r="L23" s="64">
        <f>(SUM('P&amp;L'!J13:L13)-SUM('P&amp;L'!G13:I13))*4/SUM('P&amp;L'!G37:I37)</f>
        <v/>
      </c>
      <c r="M23" s="64">
        <f>(SUM('P&amp;L'!K13:M13)-SUM('P&amp;L'!H13:J13))*4/SUM('P&amp;L'!H37:J37)</f>
        <v/>
      </c>
      <c r="N23" s="64">
        <f>(SUM('P&amp;L'!L13:N13)-SUM('P&amp;L'!I13:K13))*4/SUM('P&amp;L'!I37:K37)</f>
        <v/>
      </c>
      <c r="O23" s="64">
        <f>(SUM('P&amp;L'!M13:O13)-SUM('P&amp;L'!J13:L13))*4/SUM('P&amp;L'!J37:L37)</f>
        <v/>
      </c>
      <c r="P23" s="64">
        <f>(SUM('P&amp;L'!N13:P13)-SUM('P&amp;L'!K13:M13))*4/SUM('P&amp;L'!K37:M37)</f>
        <v/>
      </c>
      <c r="Q23" s="64">
        <f>(SUM('P&amp;L'!O13:Q13)-SUM('P&amp;L'!L13:N13))*4/SUM('P&amp;L'!L37:N37)</f>
        <v/>
      </c>
      <c r="R23" s="64">
        <f>(SUM('P&amp;L'!P13:R13)-SUM('P&amp;L'!M13:O13))*4/SUM('P&amp;L'!M37:O37)</f>
        <v/>
      </c>
      <c r="S23" s="64">
        <f>(SUM('P&amp;L'!Q13:S13)-SUM('P&amp;L'!N13:P13))*4/SUM('P&amp;L'!N37:P37)</f>
        <v/>
      </c>
      <c r="T23" s="64">
        <f>(SUM('P&amp;L'!R13:T13)-SUM('P&amp;L'!O13:Q13))*4/SUM('P&amp;L'!O37:Q37)</f>
        <v/>
      </c>
      <c r="U23" s="64">
        <f>(SUM('P&amp;L'!S13:U13)-SUM('P&amp;L'!P13:R13))*4/SUM('P&amp;L'!P37:R37)</f>
        <v/>
      </c>
      <c r="V23" s="64">
        <f>(SUM('P&amp;L'!T13:V13)-SUM('P&amp;L'!Q13:S13))*4/SUM('P&amp;L'!Q37:S37)</f>
        <v/>
      </c>
      <c r="W23" s="64">
        <f>(SUM('P&amp;L'!U13:W13)-SUM('P&amp;L'!R13:T13))*4/SUM('P&amp;L'!R37:T37)</f>
        <v/>
      </c>
      <c r="X23" s="64">
        <f>(SUM('P&amp;L'!V13:X13)-SUM('P&amp;L'!S13:U13))*4/SUM('P&amp;L'!S37:U37)</f>
        <v/>
      </c>
      <c r="Y23" s="64">
        <f>(SUM('P&amp;L'!W13:Y13)-SUM('P&amp;L'!T13:V13))*4/SUM('P&amp;L'!T37:V37)</f>
        <v/>
      </c>
      <c r="Z23" s="64">
        <f>(SUM('P&amp;L'!X13:Z13)-SUM('P&amp;L'!U13:W13))*4/SUM('P&amp;L'!U37:W37)</f>
        <v/>
      </c>
      <c r="AA23" s="64">
        <f>(SUM('P&amp;L'!Y13:AA13)-SUM('P&amp;L'!V13:X13))*4/SUM('P&amp;L'!V37:X37)</f>
        <v/>
      </c>
      <c r="AB23" s="64">
        <f>(SUM('P&amp;L'!Z13:AB13)-SUM('P&amp;L'!W13:Y13))*4/SUM('P&amp;L'!W37:Y37)</f>
        <v/>
      </c>
      <c r="AC23" s="64">
        <f>(SUM('P&amp;L'!AA13:AC13)-SUM('P&amp;L'!X13:Z13))*4/SUM('P&amp;L'!X37:Z37)</f>
        <v/>
      </c>
      <c r="AD23" s="64">
        <f>(SUM('P&amp;L'!AB13:AD13)-SUM('P&amp;L'!Y13:AA13))*4/SUM('P&amp;L'!Y37:AA37)</f>
        <v/>
      </c>
      <c r="AE23" s="64">
        <f>(SUM('P&amp;L'!AC13:AE13)-SUM('P&amp;L'!Z13:AB13))*4/SUM('P&amp;L'!Z37:AB37)</f>
        <v/>
      </c>
      <c r="AF23" s="64">
        <f>(SUM('P&amp;L'!AD13:AF13)-SUM('P&amp;L'!AA13:AC13))*4/SUM('P&amp;L'!AA37:AC37)</f>
        <v/>
      </c>
      <c r="AG23" s="64">
        <f>(SUM('P&amp;L'!AE13:AG13)-SUM('P&amp;L'!AB13:AD13))*4/SUM('P&amp;L'!AB37:AD37)</f>
        <v/>
      </c>
      <c r="AH23" s="64">
        <f>(SUM('P&amp;L'!AF13:AH13)-SUM('P&amp;L'!AC13:AE13))*4/SUM('P&amp;L'!AC37:AE37)</f>
        <v/>
      </c>
      <c r="AI23" s="64">
        <f>(SUM('P&amp;L'!AG13:AI13)-SUM('P&amp;L'!AD13:AF13))*4/SUM('P&amp;L'!AD37:AF37)</f>
        <v/>
      </c>
      <c r="AJ23" s="64">
        <f>(SUM('P&amp;L'!AH13:AJ13)-SUM('P&amp;L'!AE13:AG13))*4/SUM('P&amp;L'!AE37:AG37)</f>
        <v/>
      </c>
      <c r="AK23" s="64">
        <f>(SUM('P&amp;L'!AI13:AK13)-SUM('P&amp;L'!AF13:AH13))*4/SUM('P&amp;L'!AF37:AH37)</f>
        <v/>
      </c>
      <c r="AL23" s="64">
        <f>(SUM('P&amp;L'!AJ13:AL13)-SUM('P&amp;L'!AG13:AI13))*4/SUM('P&amp;L'!AG37:AI37)</f>
        <v/>
      </c>
      <c r="AM23" s="64">
        <f>(SUM('P&amp;L'!AK13:AM13)-SUM('P&amp;L'!AH13:AJ13))*4/SUM('P&amp;L'!AH37:AJ37)</f>
        <v/>
      </c>
      <c r="AN23" s="64">
        <f>(SUM('P&amp;L'!AL13:AN13)-SUM('P&amp;L'!AI13:AK13))*4/SUM('P&amp;L'!AI37:AK37)</f>
        <v/>
      </c>
      <c r="AO23" s="64">
        <f>(SUM('P&amp;L'!AM13:AO13)-SUM('P&amp;L'!AJ13:AL13))*4/SUM('P&amp;L'!AJ37:AL37)</f>
        <v/>
      </c>
      <c r="AP23" s="64">
        <f>(SUM('P&amp;L'!AN13:AP13)-SUM('P&amp;L'!AK13:AM13))*4/SUM('P&amp;L'!AK37:AM37)</f>
        <v/>
      </c>
      <c r="AQ23" s="64">
        <f>(SUM('P&amp;L'!AO13:AQ13)-SUM('P&amp;L'!AL13:AN13))*4/SUM('P&amp;L'!AL37:AN37)</f>
        <v/>
      </c>
      <c r="AR23" s="64">
        <f>(SUM('P&amp;L'!AP13:AR13)-SUM('P&amp;L'!AM13:AO13))*4/SUM('P&amp;L'!AM37:AO37)</f>
        <v/>
      </c>
      <c r="AS23" s="64">
        <f>(SUM('P&amp;L'!AQ13:AS13)-SUM('P&amp;L'!AN13:AP13))*4/SUM('P&amp;L'!AN37:AP37)</f>
        <v/>
      </c>
      <c r="AT23" s="64">
        <f>(SUM('P&amp;L'!AR13:AT13)-SUM('P&amp;L'!AO13:AQ13))*4/SUM('P&amp;L'!AO37:AQ37)</f>
        <v/>
      </c>
      <c r="AU23" s="64">
        <f>(SUM('P&amp;L'!AS13:AU13)-SUM('P&amp;L'!AP13:AR13))*4/SUM('P&amp;L'!AP37:AR37)</f>
        <v/>
      </c>
      <c r="AV23" s="64">
        <f>(SUM('P&amp;L'!AT13:AV13)-SUM('P&amp;L'!AQ13:AS13))*4/SUM('P&amp;L'!AQ37:AS37)</f>
        <v/>
      </c>
      <c r="AW23" s="64">
        <f>(SUM('P&amp;L'!AU13:AW13)-SUM('P&amp;L'!AR13:AT13))*4/SUM('P&amp;L'!AR37:AT37)</f>
        <v/>
      </c>
      <c r="AX23" s="64">
        <f>(SUM('P&amp;L'!AV13:AX13)-SUM('P&amp;L'!AS13:AU13))*4/SUM('P&amp;L'!AS37:AU37)</f>
        <v/>
      </c>
      <c r="AY23" s="64">
        <f>(SUM('P&amp;L'!AW13:AY13)-SUM('P&amp;L'!AT13:AV13))*4/SUM('P&amp;L'!AT37:AV37)</f>
        <v/>
      </c>
      <c r="AZ23" s="64">
        <f>(SUM('P&amp;L'!AX13:AZ13)-SUM('P&amp;L'!AU13:AW13))*4/SUM('P&amp;L'!AU37:AW37)</f>
        <v/>
      </c>
      <c r="BA23" s="64">
        <f>(SUM('P&amp;L'!AY13:BA13)-SUM('P&amp;L'!AV13:AX13))*4/SUM('P&amp;L'!AV37:AX37)</f>
        <v/>
      </c>
      <c r="BB23" s="64">
        <f>(SUM('P&amp;L'!AZ13:BB13)-SUM('P&amp;L'!AW13:AY13))*4/SUM('P&amp;L'!AW37:AY37)</f>
        <v/>
      </c>
      <c r="BC23" s="64">
        <f>(SUM('P&amp;L'!BA13:BC13)-SUM('P&amp;L'!AX13:AZ13))*4/SUM('P&amp;L'!AX37:AZ37)</f>
        <v/>
      </c>
      <c r="BD23" s="64">
        <f>(SUM('P&amp;L'!BB13:BD13)-SUM('P&amp;L'!AY13:BA13))*4/SUM('P&amp;L'!AY37:BA37)</f>
        <v/>
      </c>
      <c r="BE23" s="64">
        <f>(SUM('P&amp;L'!BC13:BE13)-SUM('P&amp;L'!AZ13:BB13))*4/SUM('P&amp;L'!AZ37:BB37)</f>
        <v/>
      </c>
      <c r="BF23" s="64">
        <f>(SUM('P&amp;L'!BD13:BF13)-SUM('P&amp;L'!BA13:BC13))*4/SUM('P&amp;L'!BA37:BC37)</f>
        <v/>
      </c>
      <c r="BG23" s="64">
        <f>(SUM('P&amp;L'!BE13:BG13)-SUM('P&amp;L'!BB13:BD13))*4/SUM('P&amp;L'!BB37:BD37)</f>
        <v/>
      </c>
      <c r="BH23" s="64">
        <f>(SUM('P&amp;L'!BF13:BH13)-SUM('P&amp;L'!BC13:BE13))*4/SUM('P&amp;L'!BC37:BE37)</f>
        <v/>
      </c>
      <c r="BI23" s="64">
        <f>(SUM('P&amp;L'!BG13:BI13)-SUM('P&amp;L'!BD13:BF13))*4/SUM('P&amp;L'!BD37:BF37)</f>
        <v/>
      </c>
      <c r="BJ23" s="64">
        <f>(SUM('P&amp;L'!BH13:BJ13)-SUM('P&amp;L'!BE13:BG13))*4/SUM('P&amp;L'!BE37:BG37)</f>
        <v/>
      </c>
      <c r="BK23" s="64">
        <f>(SUM('P&amp;L'!BI13:BK13)-SUM('P&amp;L'!BF13:BH13))*4/SUM('P&amp;L'!BF37:BH37)</f>
        <v/>
      </c>
      <c r="BM23" s="62">
        <f>O23</f>
        <v/>
      </c>
      <c r="BN23" s="62">
        <f>AA23</f>
        <v/>
      </c>
      <c r="BO23" s="62">
        <f>AM23</f>
        <v/>
      </c>
      <c r="BP23" s="62">
        <f>AY23</f>
        <v/>
      </c>
      <c r="BQ23" s="62">
        <f>BK23</f>
        <v/>
      </c>
    </row>
    <row r="24"/>
    <row r="25">
      <c r="B25" s="3" t="inlineStr">
        <is>
          <t>RUNWAY AND THE RAISE DECISION</t>
        </is>
      </c>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c r="AZ25" s="4" t="n"/>
      <c r="BA25" s="4" t="n"/>
      <c r="BB25" s="4" t="n"/>
      <c r="BC25" s="4" t="n"/>
      <c r="BD25" s="4" t="n"/>
      <c r="BE25" s="4" t="n"/>
      <c r="BF25" s="4" t="n"/>
      <c r="BG25" s="4" t="n"/>
      <c r="BH25" s="4" t="n"/>
      <c r="BI25" s="4" t="n"/>
      <c r="BJ25" s="4" t="n"/>
      <c r="BK25" s="4" t="n"/>
      <c r="BL25" s="4" t="n"/>
      <c r="BM25" s="4" t="n"/>
      <c r="BN25" s="4" t="n"/>
      <c r="BO25" s="4" t="n"/>
      <c r="BP25" s="4" t="n"/>
      <c r="BQ25" s="4" t="n"/>
    </row>
    <row r="26">
      <c r="B26" s="18" t="inlineStr">
        <is>
          <t xml:space="preserve">    Trailing three month average burn</t>
        </is>
      </c>
      <c r="C26" s="19" t="inlineStr">
        <is>
          <t>$</t>
        </is>
      </c>
      <c r="D26" s="51">
        <f>-AVERAGE('Cash Flow'!D33:D33)</f>
        <v/>
      </c>
      <c r="E26" s="51">
        <f>-AVERAGE('Cash Flow'!D33:E33)</f>
        <v/>
      </c>
      <c r="F26" s="51">
        <f>-AVERAGE('Cash Flow'!D33:F33)</f>
        <v/>
      </c>
      <c r="G26" s="51">
        <f>-AVERAGE('Cash Flow'!E33:G33)</f>
        <v/>
      </c>
      <c r="H26" s="51">
        <f>-AVERAGE('Cash Flow'!F33:H33)</f>
        <v/>
      </c>
      <c r="I26" s="51">
        <f>-AVERAGE('Cash Flow'!G33:I33)</f>
        <v/>
      </c>
      <c r="J26" s="51">
        <f>-AVERAGE('Cash Flow'!H33:J33)</f>
        <v/>
      </c>
      <c r="K26" s="51">
        <f>-AVERAGE('Cash Flow'!I33:K33)</f>
        <v/>
      </c>
      <c r="L26" s="51">
        <f>-AVERAGE('Cash Flow'!J33:L33)</f>
        <v/>
      </c>
      <c r="M26" s="51">
        <f>-AVERAGE('Cash Flow'!K33:M33)</f>
        <v/>
      </c>
      <c r="N26" s="51">
        <f>-AVERAGE('Cash Flow'!L33:N33)</f>
        <v/>
      </c>
      <c r="O26" s="51">
        <f>-AVERAGE('Cash Flow'!M33:O33)</f>
        <v/>
      </c>
      <c r="P26" s="51">
        <f>-AVERAGE('Cash Flow'!N33:P33)</f>
        <v/>
      </c>
      <c r="Q26" s="51">
        <f>-AVERAGE('Cash Flow'!O33:Q33)</f>
        <v/>
      </c>
      <c r="R26" s="51">
        <f>-AVERAGE('Cash Flow'!P33:R33)</f>
        <v/>
      </c>
      <c r="S26" s="51">
        <f>-AVERAGE('Cash Flow'!Q33:S33)</f>
        <v/>
      </c>
      <c r="T26" s="51">
        <f>-AVERAGE('Cash Flow'!R33:T33)</f>
        <v/>
      </c>
      <c r="U26" s="51">
        <f>-AVERAGE('Cash Flow'!S33:U33)</f>
        <v/>
      </c>
      <c r="V26" s="51">
        <f>-AVERAGE('Cash Flow'!T33:V33)</f>
        <v/>
      </c>
      <c r="W26" s="51">
        <f>-AVERAGE('Cash Flow'!U33:W33)</f>
        <v/>
      </c>
      <c r="X26" s="51">
        <f>-AVERAGE('Cash Flow'!V33:X33)</f>
        <v/>
      </c>
      <c r="Y26" s="51">
        <f>-AVERAGE('Cash Flow'!W33:Y33)</f>
        <v/>
      </c>
      <c r="Z26" s="51">
        <f>-AVERAGE('Cash Flow'!X33:Z33)</f>
        <v/>
      </c>
      <c r="AA26" s="51">
        <f>-AVERAGE('Cash Flow'!Y33:AA33)</f>
        <v/>
      </c>
      <c r="AB26" s="51">
        <f>-AVERAGE('Cash Flow'!Z33:AB33)</f>
        <v/>
      </c>
      <c r="AC26" s="51">
        <f>-AVERAGE('Cash Flow'!AA33:AC33)</f>
        <v/>
      </c>
      <c r="AD26" s="51">
        <f>-AVERAGE('Cash Flow'!AB33:AD33)</f>
        <v/>
      </c>
      <c r="AE26" s="51">
        <f>-AVERAGE('Cash Flow'!AC33:AE33)</f>
        <v/>
      </c>
      <c r="AF26" s="51">
        <f>-AVERAGE('Cash Flow'!AD33:AF33)</f>
        <v/>
      </c>
      <c r="AG26" s="51">
        <f>-AVERAGE('Cash Flow'!AE33:AG33)</f>
        <v/>
      </c>
      <c r="AH26" s="51">
        <f>-AVERAGE('Cash Flow'!AF33:AH33)</f>
        <v/>
      </c>
      <c r="AI26" s="51">
        <f>-AVERAGE('Cash Flow'!AG33:AI33)</f>
        <v/>
      </c>
      <c r="AJ26" s="51">
        <f>-AVERAGE('Cash Flow'!AH33:AJ33)</f>
        <v/>
      </c>
      <c r="AK26" s="51">
        <f>-AVERAGE('Cash Flow'!AI33:AK33)</f>
        <v/>
      </c>
      <c r="AL26" s="51">
        <f>-AVERAGE('Cash Flow'!AJ33:AL33)</f>
        <v/>
      </c>
      <c r="AM26" s="51">
        <f>-AVERAGE('Cash Flow'!AK33:AM33)</f>
        <v/>
      </c>
      <c r="AN26" s="51">
        <f>-AVERAGE('Cash Flow'!AL33:AN33)</f>
        <v/>
      </c>
      <c r="AO26" s="51">
        <f>-AVERAGE('Cash Flow'!AM33:AO33)</f>
        <v/>
      </c>
      <c r="AP26" s="51">
        <f>-AVERAGE('Cash Flow'!AN33:AP33)</f>
        <v/>
      </c>
      <c r="AQ26" s="51">
        <f>-AVERAGE('Cash Flow'!AO33:AQ33)</f>
        <v/>
      </c>
      <c r="AR26" s="51">
        <f>-AVERAGE('Cash Flow'!AP33:AR33)</f>
        <v/>
      </c>
      <c r="AS26" s="51">
        <f>-AVERAGE('Cash Flow'!AQ33:AS33)</f>
        <v/>
      </c>
      <c r="AT26" s="51">
        <f>-AVERAGE('Cash Flow'!AR33:AT33)</f>
        <v/>
      </c>
      <c r="AU26" s="51">
        <f>-AVERAGE('Cash Flow'!AS33:AU33)</f>
        <v/>
      </c>
      <c r="AV26" s="51">
        <f>-AVERAGE('Cash Flow'!AT33:AV33)</f>
        <v/>
      </c>
      <c r="AW26" s="51">
        <f>-AVERAGE('Cash Flow'!AU33:AW33)</f>
        <v/>
      </c>
      <c r="AX26" s="51">
        <f>-AVERAGE('Cash Flow'!AV33:AX33)</f>
        <v/>
      </c>
      <c r="AY26" s="51">
        <f>-AVERAGE('Cash Flow'!AW33:AY33)</f>
        <v/>
      </c>
      <c r="AZ26" s="51">
        <f>-AVERAGE('Cash Flow'!AX33:AZ33)</f>
        <v/>
      </c>
      <c r="BA26" s="51">
        <f>-AVERAGE('Cash Flow'!AY33:BA33)</f>
        <v/>
      </c>
      <c r="BB26" s="51">
        <f>-AVERAGE('Cash Flow'!AZ33:BB33)</f>
        <v/>
      </c>
      <c r="BC26" s="51">
        <f>-AVERAGE('Cash Flow'!BA33:BC33)</f>
        <v/>
      </c>
      <c r="BD26" s="51">
        <f>-AVERAGE('Cash Flow'!BB33:BD33)</f>
        <v/>
      </c>
      <c r="BE26" s="51">
        <f>-AVERAGE('Cash Flow'!BC33:BE33)</f>
        <v/>
      </c>
      <c r="BF26" s="51">
        <f>-AVERAGE('Cash Flow'!BD33:BF33)</f>
        <v/>
      </c>
      <c r="BG26" s="51">
        <f>-AVERAGE('Cash Flow'!BE33:BG33)</f>
        <v/>
      </c>
      <c r="BH26" s="51">
        <f>-AVERAGE('Cash Flow'!BF33:BH33)</f>
        <v/>
      </c>
      <c r="BI26" s="51">
        <f>-AVERAGE('Cash Flow'!BG33:BI33)</f>
        <v/>
      </c>
      <c r="BJ26" s="51">
        <f>-AVERAGE('Cash Flow'!BH33:BJ33)</f>
        <v/>
      </c>
      <c r="BK26" s="51">
        <f>-AVERAGE('Cash Flow'!BI33:BK33)</f>
        <v/>
      </c>
    </row>
    <row r="27">
      <c r="B27" s="29" t="inlineStr">
        <is>
          <t xml:space="preserve">    Months of runway to the minimum balance</t>
        </is>
      </c>
      <c r="C27" s="19" t="inlineStr">
        <is>
          <t>#</t>
        </is>
      </c>
      <c r="D27" s="63">
        <f>IF(D26&lt;=0,"",MAX('Cash Flow'!D35/D26,0))</f>
        <v/>
      </c>
      <c r="E27" s="63">
        <f>IF(E26&lt;=0,"",MAX('Cash Flow'!E35/E26,0))</f>
        <v/>
      </c>
      <c r="F27" s="63">
        <f>IF(F26&lt;=0,"",MAX('Cash Flow'!F35/F26,0))</f>
        <v/>
      </c>
      <c r="G27" s="63">
        <f>IF(G26&lt;=0,"",MAX('Cash Flow'!G35/G26,0))</f>
        <v/>
      </c>
      <c r="H27" s="63">
        <f>IF(H26&lt;=0,"",MAX('Cash Flow'!H35/H26,0))</f>
        <v/>
      </c>
      <c r="I27" s="63">
        <f>IF(I26&lt;=0,"",MAX('Cash Flow'!I35/I26,0))</f>
        <v/>
      </c>
      <c r="J27" s="63">
        <f>IF(J26&lt;=0,"",MAX('Cash Flow'!J35/J26,0))</f>
        <v/>
      </c>
      <c r="K27" s="63">
        <f>IF(K26&lt;=0,"",MAX('Cash Flow'!K35/K26,0))</f>
        <v/>
      </c>
      <c r="L27" s="63">
        <f>IF(L26&lt;=0,"",MAX('Cash Flow'!L35/L26,0))</f>
        <v/>
      </c>
      <c r="M27" s="63">
        <f>IF(M26&lt;=0,"",MAX('Cash Flow'!M35/M26,0))</f>
        <v/>
      </c>
      <c r="N27" s="63">
        <f>IF(N26&lt;=0,"",MAX('Cash Flow'!N35/N26,0))</f>
        <v/>
      </c>
      <c r="O27" s="63">
        <f>IF(O26&lt;=0,"",MAX('Cash Flow'!O35/O26,0))</f>
        <v/>
      </c>
      <c r="P27" s="63">
        <f>IF(P26&lt;=0,"",MAX('Cash Flow'!P35/P26,0))</f>
        <v/>
      </c>
      <c r="Q27" s="63">
        <f>IF(Q26&lt;=0,"",MAX('Cash Flow'!Q35/Q26,0))</f>
        <v/>
      </c>
      <c r="R27" s="63">
        <f>IF(R26&lt;=0,"",MAX('Cash Flow'!R35/R26,0))</f>
        <v/>
      </c>
      <c r="S27" s="63">
        <f>IF(S26&lt;=0,"",MAX('Cash Flow'!S35/S26,0))</f>
        <v/>
      </c>
      <c r="T27" s="63">
        <f>IF(T26&lt;=0,"",MAX('Cash Flow'!T35/T26,0))</f>
        <v/>
      </c>
      <c r="U27" s="63">
        <f>IF(U26&lt;=0,"",MAX('Cash Flow'!U35/U26,0))</f>
        <v/>
      </c>
      <c r="V27" s="63">
        <f>IF(V26&lt;=0,"",MAX('Cash Flow'!V35/V26,0))</f>
        <v/>
      </c>
      <c r="W27" s="63">
        <f>IF(W26&lt;=0,"",MAX('Cash Flow'!W35/W26,0))</f>
        <v/>
      </c>
      <c r="X27" s="63">
        <f>IF(X26&lt;=0,"",MAX('Cash Flow'!X35/X26,0))</f>
        <v/>
      </c>
      <c r="Y27" s="63">
        <f>IF(Y26&lt;=0,"",MAX('Cash Flow'!Y35/Y26,0))</f>
        <v/>
      </c>
      <c r="Z27" s="63">
        <f>IF(Z26&lt;=0,"",MAX('Cash Flow'!Z35/Z26,0))</f>
        <v/>
      </c>
      <c r="AA27" s="63">
        <f>IF(AA26&lt;=0,"",MAX('Cash Flow'!AA35/AA26,0))</f>
        <v/>
      </c>
      <c r="AB27" s="63">
        <f>IF(AB26&lt;=0,"",MAX('Cash Flow'!AB35/AB26,0))</f>
        <v/>
      </c>
      <c r="AC27" s="63">
        <f>IF(AC26&lt;=0,"",MAX('Cash Flow'!AC35/AC26,0))</f>
        <v/>
      </c>
      <c r="AD27" s="63">
        <f>IF(AD26&lt;=0,"",MAX('Cash Flow'!AD35/AD26,0))</f>
        <v/>
      </c>
      <c r="AE27" s="63">
        <f>IF(AE26&lt;=0,"",MAX('Cash Flow'!AE35/AE26,0))</f>
        <v/>
      </c>
      <c r="AF27" s="63">
        <f>IF(AF26&lt;=0,"",MAX('Cash Flow'!AF35/AF26,0))</f>
        <v/>
      </c>
      <c r="AG27" s="63">
        <f>IF(AG26&lt;=0,"",MAX('Cash Flow'!AG35/AG26,0))</f>
        <v/>
      </c>
      <c r="AH27" s="63">
        <f>IF(AH26&lt;=0,"",MAX('Cash Flow'!AH35/AH26,0))</f>
        <v/>
      </c>
      <c r="AI27" s="63">
        <f>IF(AI26&lt;=0,"",MAX('Cash Flow'!AI35/AI26,0))</f>
        <v/>
      </c>
      <c r="AJ27" s="63">
        <f>IF(AJ26&lt;=0,"",MAX('Cash Flow'!AJ35/AJ26,0))</f>
        <v/>
      </c>
      <c r="AK27" s="63">
        <f>IF(AK26&lt;=0,"",MAX('Cash Flow'!AK35/AK26,0))</f>
        <v/>
      </c>
      <c r="AL27" s="63">
        <f>IF(AL26&lt;=0,"",MAX('Cash Flow'!AL35/AL26,0))</f>
        <v/>
      </c>
      <c r="AM27" s="63">
        <f>IF(AM26&lt;=0,"",MAX('Cash Flow'!AM35/AM26,0))</f>
        <v/>
      </c>
      <c r="AN27" s="63">
        <f>IF(AN26&lt;=0,"",MAX('Cash Flow'!AN35/AN26,0))</f>
        <v/>
      </c>
      <c r="AO27" s="63">
        <f>IF(AO26&lt;=0,"",MAX('Cash Flow'!AO35/AO26,0))</f>
        <v/>
      </c>
      <c r="AP27" s="63">
        <f>IF(AP26&lt;=0,"",MAX('Cash Flow'!AP35/AP26,0))</f>
        <v/>
      </c>
      <c r="AQ27" s="63">
        <f>IF(AQ26&lt;=0,"",MAX('Cash Flow'!AQ35/AQ26,0))</f>
        <v/>
      </c>
      <c r="AR27" s="63">
        <f>IF(AR26&lt;=0,"",MAX('Cash Flow'!AR35/AR26,0))</f>
        <v/>
      </c>
      <c r="AS27" s="63">
        <f>IF(AS26&lt;=0,"",MAX('Cash Flow'!AS35/AS26,0))</f>
        <v/>
      </c>
      <c r="AT27" s="63">
        <f>IF(AT26&lt;=0,"",MAX('Cash Flow'!AT35/AT26,0))</f>
        <v/>
      </c>
      <c r="AU27" s="63">
        <f>IF(AU26&lt;=0,"",MAX('Cash Flow'!AU35/AU26,0))</f>
        <v/>
      </c>
      <c r="AV27" s="63">
        <f>IF(AV26&lt;=0,"",MAX('Cash Flow'!AV35/AV26,0))</f>
        <v/>
      </c>
      <c r="AW27" s="63">
        <f>IF(AW26&lt;=0,"",MAX('Cash Flow'!AW35/AW26,0))</f>
        <v/>
      </c>
      <c r="AX27" s="63">
        <f>IF(AX26&lt;=0,"",MAX('Cash Flow'!AX35/AX26,0))</f>
        <v/>
      </c>
      <c r="AY27" s="63">
        <f>IF(AY26&lt;=0,"",MAX('Cash Flow'!AY35/AY26,0))</f>
        <v/>
      </c>
      <c r="AZ27" s="63">
        <f>IF(AZ26&lt;=0,"",MAX('Cash Flow'!AZ35/AZ26,0))</f>
        <v/>
      </c>
      <c r="BA27" s="63">
        <f>IF(BA26&lt;=0,"",MAX('Cash Flow'!BA35/BA26,0))</f>
        <v/>
      </c>
      <c r="BB27" s="63">
        <f>IF(BB26&lt;=0,"",MAX('Cash Flow'!BB35/BB26,0))</f>
        <v/>
      </c>
      <c r="BC27" s="63">
        <f>IF(BC26&lt;=0,"",MAX('Cash Flow'!BC35/BC26,0))</f>
        <v/>
      </c>
      <c r="BD27" s="63">
        <f>IF(BD26&lt;=0,"",MAX('Cash Flow'!BD35/BD26,0))</f>
        <v/>
      </c>
      <c r="BE27" s="63">
        <f>IF(BE26&lt;=0,"",MAX('Cash Flow'!BE35/BE26,0))</f>
        <v/>
      </c>
      <c r="BF27" s="63">
        <f>IF(BF26&lt;=0,"",MAX('Cash Flow'!BF35/BF26,0))</f>
        <v/>
      </c>
      <c r="BG27" s="63">
        <f>IF(BG26&lt;=0,"",MAX('Cash Flow'!BG35/BG26,0))</f>
        <v/>
      </c>
      <c r="BH27" s="63">
        <f>IF(BH26&lt;=0,"",MAX('Cash Flow'!BH35/BH26,0))</f>
        <v/>
      </c>
      <c r="BI27" s="63">
        <f>IF(BI26&lt;=0,"",MAX('Cash Flow'!BI35/BI26,0))</f>
        <v/>
      </c>
      <c r="BJ27" s="63">
        <f>IF(BJ26&lt;=0,"",MAX('Cash Flow'!BJ35/BJ26,0))</f>
        <v/>
      </c>
      <c r="BK27" s="63">
        <f>IF(BK26&lt;=0,"",MAX('Cash Flow'!BK35/BK26,0))</f>
        <v/>
      </c>
    </row>
    <row r="28">
      <c r="B28" s="18" t="inlineStr">
        <is>
          <t xml:space="preserve">    Below minimum balance</t>
        </is>
      </c>
      <c r="C28" s="19" t="inlineStr">
        <is>
          <t>flag</t>
        </is>
      </c>
      <c r="D28" s="65">
        <f>IF('Cash Flow'!D34&lt;Inputs!$D$12,"BREACH","")</f>
        <v/>
      </c>
      <c r="E28" s="65">
        <f>IF('Cash Flow'!E34&lt;Inputs!$D$12,"BREACH","")</f>
        <v/>
      </c>
      <c r="F28" s="65">
        <f>IF('Cash Flow'!F34&lt;Inputs!$D$12,"BREACH","")</f>
        <v/>
      </c>
      <c r="G28" s="65">
        <f>IF('Cash Flow'!G34&lt;Inputs!$D$12,"BREACH","")</f>
        <v/>
      </c>
      <c r="H28" s="65">
        <f>IF('Cash Flow'!H34&lt;Inputs!$D$12,"BREACH","")</f>
        <v/>
      </c>
      <c r="I28" s="65">
        <f>IF('Cash Flow'!I34&lt;Inputs!$D$12,"BREACH","")</f>
        <v/>
      </c>
      <c r="J28" s="65">
        <f>IF('Cash Flow'!J34&lt;Inputs!$D$12,"BREACH","")</f>
        <v/>
      </c>
      <c r="K28" s="65">
        <f>IF('Cash Flow'!K34&lt;Inputs!$D$12,"BREACH","")</f>
        <v/>
      </c>
      <c r="L28" s="65">
        <f>IF('Cash Flow'!L34&lt;Inputs!$D$12,"BREACH","")</f>
        <v/>
      </c>
      <c r="M28" s="65">
        <f>IF('Cash Flow'!M34&lt;Inputs!$D$12,"BREACH","")</f>
        <v/>
      </c>
      <c r="N28" s="65">
        <f>IF('Cash Flow'!N34&lt;Inputs!$D$12,"BREACH","")</f>
        <v/>
      </c>
      <c r="O28" s="65">
        <f>IF('Cash Flow'!O34&lt;Inputs!$D$12,"BREACH","")</f>
        <v/>
      </c>
      <c r="P28" s="65">
        <f>IF('Cash Flow'!P34&lt;Inputs!$D$12,"BREACH","")</f>
        <v/>
      </c>
      <c r="Q28" s="65">
        <f>IF('Cash Flow'!Q34&lt;Inputs!$D$12,"BREACH","")</f>
        <v/>
      </c>
      <c r="R28" s="65">
        <f>IF('Cash Flow'!R34&lt;Inputs!$D$12,"BREACH","")</f>
        <v/>
      </c>
      <c r="S28" s="65">
        <f>IF('Cash Flow'!S34&lt;Inputs!$D$12,"BREACH","")</f>
        <v/>
      </c>
      <c r="T28" s="65">
        <f>IF('Cash Flow'!T34&lt;Inputs!$D$12,"BREACH","")</f>
        <v/>
      </c>
      <c r="U28" s="65">
        <f>IF('Cash Flow'!U34&lt;Inputs!$D$12,"BREACH","")</f>
        <v/>
      </c>
      <c r="V28" s="65">
        <f>IF('Cash Flow'!V34&lt;Inputs!$D$12,"BREACH","")</f>
        <v/>
      </c>
      <c r="W28" s="65">
        <f>IF('Cash Flow'!W34&lt;Inputs!$D$12,"BREACH","")</f>
        <v/>
      </c>
      <c r="X28" s="65">
        <f>IF('Cash Flow'!X34&lt;Inputs!$D$12,"BREACH","")</f>
        <v/>
      </c>
      <c r="Y28" s="65">
        <f>IF('Cash Flow'!Y34&lt;Inputs!$D$12,"BREACH","")</f>
        <v/>
      </c>
      <c r="Z28" s="65">
        <f>IF('Cash Flow'!Z34&lt;Inputs!$D$12,"BREACH","")</f>
        <v/>
      </c>
      <c r="AA28" s="65">
        <f>IF('Cash Flow'!AA34&lt;Inputs!$D$12,"BREACH","")</f>
        <v/>
      </c>
      <c r="AB28" s="65">
        <f>IF('Cash Flow'!AB34&lt;Inputs!$D$12,"BREACH","")</f>
        <v/>
      </c>
      <c r="AC28" s="65">
        <f>IF('Cash Flow'!AC34&lt;Inputs!$D$12,"BREACH","")</f>
        <v/>
      </c>
      <c r="AD28" s="65">
        <f>IF('Cash Flow'!AD34&lt;Inputs!$D$12,"BREACH","")</f>
        <v/>
      </c>
      <c r="AE28" s="65">
        <f>IF('Cash Flow'!AE34&lt;Inputs!$D$12,"BREACH","")</f>
        <v/>
      </c>
      <c r="AF28" s="65">
        <f>IF('Cash Flow'!AF34&lt;Inputs!$D$12,"BREACH","")</f>
        <v/>
      </c>
      <c r="AG28" s="65">
        <f>IF('Cash Flow'!AG34&lt;Inputs!$D$12,"BREACH","")</f>
        <v/>
      </c>
      <c r="AH28" s="65">
        <f>IF('Cash Flow'!AH34&lt;Inputs!$D$12,"BREACH","")</f>
        <v/>
      </c>
      <c r="AI28" s="65">
        <f>IF('Cash Flow'!AI34&lt;Inputs!$D$12,"BREACH","")</f>
        <v/>
      </c>
      <c r="AJ28" s="65">
        <f>IF('Cash Flow'!AJ34&lt;Inputs!$D$12,"BREACH","")</f>
        <v/>
      </c>
      <c r="AK28" s="65">
        <f>IF('Cash Flow'!AK34&lt;Inputs!$D$12,"BREACH","")</f>
        <v/>
      </c>
      <c r="AL28" s="65">
        <f>IF('Cash Flow'!AL34&lt;Inputs!$D$12,"BREACH","")</f>
        <v/>
      </c>
      <c r="AM28" s="65">
        <f>IF('Cash Flow'!AM34&lt;Inputs!$D$12,"BREACH","")</f>
        <v/>
      </c>
      <c r="AN28" s="65">
        <f>IF('Cash Flow'!AN34&lt;Inputs!$D$12,"BREACH","")</f>
        <v/>
      </c>
      <c r="AO28" s="65">
        <f>IF('Cash Flow'!AO34&lt;Inputs!$D$12,"BREACH","")</f>
        <v/>
      </c>
      <c r="AP28" s="65">
        <f>IF('Cash Flow'!AP34&lt;Inputs!$D$12,"BREACH","")</f>
        <v/>
      </c>
      <c r="AQ28" s="65">
        <f>IF('Cash Flow'!AQ34&lt;Inputs!$D$12,"BREACH","")</f>
        <v/>
      </c>
      <c r="AR28" s="65">
        <f>IF('Cash Flow'!AR34&lt;Inputs!$D$12,"BREACH","")</f>
        <v/>
      </c>
      <c r="AS28" s="65">
        <f>IF('Cash Flow'!AS34&lt;Inputs!$D$12,"BREACH","")</f>
        <v/>
      </c>
      <c r="AT28" s="65">
        <f>IF('Cash Flow'!AT34&lt;Inputs!$D$12,"BREACH","")</f>
        <v/>
      </c>
      <c r="AU28" s="65">
        <f>IF('Cash Flow'!AU34&lt;Inputs!$D$12,"BREACH","")</f>
        <v/>
      </c>
      <c r="AV28" s="65">
        <f>IF('Cash Flow'!AV34&lt;Inputs!$D$12,"BREACH","")</f>
        <v/>
      </c>
      <c r="AW28" s="65">
        <f>IF('Cash Flow'!AW34&lt;Inputs!$D$12,"BREACH","")</f>
        <v/>
      </c>
      <c r="AX28" s="65">
        <f>IF('Cash Flow'!AX34&lt;Inputs!$D$12,"BREACH","")</f>
        <v/>
      </c>
      <c r="AY28" s="65">
        <f>IF('Cash Flow'!AY34&lt;Inputs!$D$12,"BREACH","")</f>
        <v/>
      </c>
      <c r="AZ28" s="65">
        <f>IF('Cash Flow'!AZ34&lt;Inputs!$D$12,"BREACH","")</f>
        <v/>
      </c>
      <c r="BA28" s="65">
        <f>IF('Cash Flow'!BA34&lt;Inputs!$D$12,"BREACH","")</f>
        <v/>
      </c>
      <c r="BB28" s="65">
        <f>IF('Cash Flow'!BB34&lt;Inputs!$D$12,"BREACH","")</f>
        <v/>
      </c>
      <c r="BC28" s="65">
        <f>IF('Cash Flow'!BC34&lt;Inputs!$D$12,"BREACH","")</f>
        <v/>
      </c>
      <c r="BD28" s="65">
        <f>IF('Cash Flow'!BD34&lt;Inputs!$D$12,"BREACH","")</f>
        <v/>
      </c>
      <c r="BE28" s="65">
        <f>IF('Cash Flow'!BE34&lt;Inputs!$D$12,"BREACH","")</f>
        <v/>
      </c>
      <c r="BF28" s="65">
        <f>IF('Cash Flow'!BF34&lt;Inputs!$D$12,"BREACH","")</f>
        <v/>
      </c>
      <c r="BG28" s="65">
        <f>IF('Cash Flow'!BG34&lt;Inputs!$D$12,"BREACH","")</f>
        <v/>
      </c>
      <c r="BH28" s="65">
        <f>IF('Cash Flow'!BH34&lt;Inputs!$D$12,"BREACH","")</f>
        <v/>
      </c>
      <c r="BI28" s="65">
        <f>IF('Cash Flow'!BI34&lt;Inputs!$D$12,"BREACH","")</f>
        <v/>
      </c>
      <c r="BJ28" s="65">
        <f>IF('Cash Flow'!BJ34&lt;Inputs!$D$12,"BREACH","")</f>
        <v/>
      </c>
      <c r="BK28" s="65">
        <f>IF('Cash Flow'!BK34&lt;Inputs!$D$12,"BREACH","")</f>
        <v/>
      </c>
    </row>
    <row r="29">
      <c r="B29" s="18" t="inlineStr">
        <is>
          <t xml:space="preserve">    Raise process should be live</t>
        </is>
      </c>
      <c r="C29" s="19" t="inlineStr">
        <is>
          <t>flag</t>
        </is>
      </c>
      <c r="D29" s="65">
        <f>IF(AND(ISNUMBER(D27),D27&lt;=Inputs!$D$193,D27&gt;0),"RAISE WINDOW","")</f>
        <v/>
      </c>
      <c r="E29" s="65">
        <f>IF(AND(ISNUMBER(E27),E27&lt;=Inputs!$D$193,E27&gt;0),"RAISE WINDOW","")</f>
        <v/>
      </c>
      <c r="F29" s="65">
        <f>IF(AND(ISNUMBER(F27),F27&lt;=Inputs!$D$193,F27&gt;0),"RAISE WINDOW","")</f>
        <v/>
      </c>
      <c r="G29" s="65">
        <f>IF(AND(ISNUMBER(G27),G27&lt;=Inputs!$D$193,G27&gt;0),"RAISE WINDOW","")</f>
        <v/>
      </c>
      <c r="H29" s="65">
        <f>IF(AND(ISNUMBER(H27),H27&lt;=Inputs!$D$193,H27&gt;0),"RAISE WINDOW","")</f>
        <v/>
      </c>
      <c r="I29" s="65">
        <f>IF(AND(ISNUMBER(I27),I27&lt;=Inputs!$D$193,I27&gt;0),"RAISE WINDOW","")</f>
        <v/>
      </c>
      <c r="J29" s="65">
        <f>IF(AND(ISNUMBER(J27),J27&lt;=Inputs!$D$193,J27&gt;0),"RAISE WINDOW","")</f>
        <v/>
      </c>
      <c r="K29" s="65">
        <f>IF(AND(ISNUMBER(K27),K27&lt;=Inputs!$D$193,K27&gt;0),"RAISE WINDOW","")</f>
        <v/>
      </c>
      <c r="L29" s="65">
        <f>IF(AND(ISNUMBER(L27),L27&lt;=Inputs!$D$193,L27&gt;0),"RAISE WINDOW","")</f>
        <v/>
      </c>
      <c r="M29" s="65">
        <f>IF(AND(ISNUMBER(M27),M27&lt;=Inputs!$D$193,M27&gt;0),"RAISE WINDOW","")</f>
        <v/>
      </c>
      <c r="N29" s="65">
        <f>IF(AND(ISNUMBER(N27),N27&lt;=Inputs!$D$193,N27&gt;0),"RAISE WINDOW","")</f>
        <v/>
      </c>
      <c r="O29" s="65">
        <f>IF(AND(ISNUMBER(O27),O27&lt;=Inputs!$D$193,O27&gt;0),"RAISE WINDOW","")</f>
        <v/>
      </c>
      <c r="P29" s="65">
        <f>IF(AND(ISNUMBER(P27),P27&lt;=Inputs!$D$193,P27&gt;0),"RAISE WINDOW","")</f>
        <v/>
      </c>
      <c r="Q29" s="65">
        <f>IF(AND(ISNUMBER(Q27),Q27&lt;=Inputs!$D$193,Q27&gt;0),"RAISE WINDOW","")</f>
        <v/>
      </c>
      <c r="R29" s="65">
        <f>IF(AND(ISNUMBER(R27),R27&lt;=Inputs!$D$193,R27&gt;0),"RAISE WINDOW","")</f>
        <v/>
      </c>
      <c r="S29" s="65">
        <f>IF(AND(ISNUMBER(S27),S27&lt;=Inputs!$D$193,S27&gt;0),"RAISE WINDOW","")</f>
        <v/>
      </c>
      <c r="T29" s="65">
        <f>IF(AND(ISNUMBER(T27),T27&lt;=Inputs!$D$193,T27&gt;0),"RAISE WINDOW","")</f>
        <v/>
      </c>
      <c r="U29" s="65">
        <f>IF(AND(ISNUMBER(U27),U27&lt;=Inputs!$D$193,U27&gt;0),"RAISE WINDOW","")</f>
        <v/>
      </c>
      <c r="V29" s="65">
        <f>IF(AND(ISNUMBER(V27),V27&lt;=Inputs!$D$193,V27&gt;0),"RAISE WINDOW","")</f>
        <v/>
      </c>
      <c r="W29" s="65">
        <f>IF(AND(ISNUMBER(W27),W27&lt;=Inputs!$D$193,W27&gt;0),"RAISE WINDOW","")</f>
        <v/>
      </c>
      <c r="X29" s="65">
        <f>IF(AND(ISNUMBER(X27),X27&lt;=Inputs!$D$193,X27&gt;0),"RAISE WINDOW","")</f>
        <v/>
      </c>
      <c r="Y29" s="65">
        <f>IF(AND(ISNUMBER(Y27),Y27&lt;=Inputs!$D$193,Y27&gt;0),"RAISE WINDOW","")</f>
        <v/>
      </c>
      <c r="Z29" s="65">
        <f>IF(AND(ISNUMBER(Z27),Z27&lt;=Inputs!$D$193,Z27&gt;0),"RAISE WINDOW","")</f>
        <v/>
      </c>
      <c r="AA29" s="65">
        <f>IF(AND(ISNUMBER(AA27),AA27&lt;=Inputs!$D$193,AA27&gt;0),"RAISE WINDOW","")</f>
        <v/>
      </c>
      <c r="AB29" s="65">
        <f>IF(AND(ISNUMBER(AB27),AB27&lt;=Inputs!$D$193,AB27&gt;0),"RAISE WINDOW","")</f>
        <v/>
      </c>
      <c r="AC29" s="65">
        <f>IF(AND(ISNUMBER(AC27),AC27&lt;=Inputs!$D$193,AC27&gt;0),"RAISE WINDOW","")</f>
        <v/>
      </c>
      <c r="AD29" s="65">
        <f>IF(AND(ISNUMBER(AD27),AD27&lt;=Inputs!$D$193,AD27&gt;0),"RAISE WINDOW","")</f>
        <v/>
      </c>
      <c r="AE29" s="65">
        <f>IF(AND(ISNUMBER(AE27),AE27&lt;=Inputs!$D$193,AE27&gt;0),"RAISE WINDOW","")</f>
        <v/>
      </c>
      <c r="AF29" s="65">
        <f>IF(AND(ISNUMBER(AF27),AF27&lt;=Inputs!$D$193,AF27&gt;0),"RAISE WINDOW","")</f>
        <v/>
      </c>
      <c r="AG29" s="65">
        <f>IF(AND(ISNUMBER(AG27),AG27&lt;=Inputs!$D$193,AG27&gt;0),"RAISE WINDOW","")</f>
        <v/>
      </c>
      <c r="AH29" s="65">
        <f>IF(AND(ISNUMBER(AH27),AH27&lt;=Inputs!$D$193,AH27&gt;0),"RAISE WINDOW","")</f>
        <v/>
      </c>
      <c r="AI29" s="65">
        <f>IF(AND(ISNUMBER(AI27),AI27&lt;=Inputs!$D$193,AI27&gt;0),"RAISE WINDOW","")</f>
        <v/>
      </c>
      <c r="AJ29" s="65">
        <f>IF(AND(ISNUMBER(AJ27),AJ27&lt;=Inputs!$D$193,AJ27&gt;0),"RAISE WINDOW","")</f>
        <v/>
      </c>
      <c r="AK29" s="65">
        <f>IF(AND(ISNUMBER(AK27),AK27&lt;=Inputs!$D$193,AK27&gt;0),"RAISE WINDOW","")</f>
        <v/>
      </c>
      <c r="AL29" s="65">
        <f>IF(AND(ISNUMBER(AL27),AL27&lt;=Inputs!$D$193,AL27&gt;0),"RAISE WINDOW","")</f>
        <v/>
      </c>
      <c r="AM29" s="65">
        <f>IF(AND(ISNUMBER(AM27),AM27&lt;=Inputs!$D$193,AM27&gt;0),"RAISE WINDOW","")</f>
        <v/>
      </c>
      <c r="AN29" s="65">
        <f>IF(AND(ISNUMBER(AN27),AN27&lt;=Inputs!$D$193,AN27&gt;0),"RAISE WINDOW","")</f>
        <v/>
      </c>
      <c r="AO29" s="65">
        <f>IF(AND(ISNUMBER(AO27),AO27&lt;=Inputs!$D$193,AO27&gt;0),"RAISE WINDOW","")</f>
        <v/>
      </c>
      <c r="AP29" s="65">
        <f>IF(AND(ISNUMBER(AP27),AP27&lt;=Inputs!$D$193,AP27&gt;0),"RAISE WINDOW","")</f>
        <v/>
      </c>
      <c r="AQ29" s="65">
        <f>IF(AND(ISNUMBER(AQ27),AQ27&lt;=Inputs!$D$193,AQ27&gt;0),"RAISE WINDOW","")</f>
        <v/>
      </c>
      <c r="AR29" s="65">
        <f>IF(AND(ISNUMBER(AR27),AR27&lt;=Inputs!$D$193,AR27&gt;0),"RAISE WINDOW","")</f>
        <v/>
      </c>
      <c r="AS29" s="65">
        <f>IF(AND(ISNUMBER(AS27),AS27&lt;=Inputs!$D$193,AS27&gt;0),"RAISE WINDOW","")</f>
        <v/>
      </c>
      <c r="AT29" s="65">
        <f>IF(AND(ISNUMBER(AT27),AT27&lt;=Inputs!$D$193,AT27&gt;0),"RAISE WINDOW","")</f>
        <v/>
      </c>
      <c r="AU29" s="65">
        <f>IF(AND(ISNUMBER(AU27),AU27&lt;=Inputs!$D$193,AU27&gt;0),"RAISE WINDOW","")</f>
        <v/>
      </c>
      <c r="AV29" s="65">
        <f>IF(AND(ISNUMBER(AV27),AV27&lt;=Inputs!$D$193,AV27&gt;0),"RAISE WINDOW","")</f>
        <v/>
      </c>
      <c r="AW29" s="65">
        <f>IF(AND(ISNUMBER(AW27),AW27&lt;=Inputs!$D$193,AW27&gt;0),"RAISE WINDOW","")</f>
        <v/>
      </c>
      <c r="AX29" s="65">
        <f>IF(AND(ISNUMBER(AX27),AX27&lt;=Inputs!$D$193,AX27&gt;0),"RAISE WINDOW","")</f>
        <v/>
      </c>
      <c r="AY29" s="65">
        <f>IF(AND(ISNUMBER(AY27),AY27&lt;=Inputs!$D$193,AY27&gt;0),"RAISE WINDOW","")</f>
        <v/>
      </c>
      <c r="AZ29" s="65">
        <f>IF(AND(ISNUMBER(AZ27),AZ27&lt;=Inputs!$D$193,AZ27&gt;0),"RAISE WINDOW","")</f>
        <v/>
      </c>
      <c r="BA29" s="65">
        <f>IF(AND(ISNUMBER(BA27),BA27&lt;=Inputs!$D$193,BA27&gt;0),"RAISE WINDOW","")</f>
        <v/>
      </c>
      <c r="BB29" s="65">
        <f>IF(AND(ISNUMBER(BB27),BB27&lt;=Inputs!$D$193,BB27&gt;0),"RAISE WINDOW","")</f>
        <v/>
      </c>
      <c r="BC29" s="65">
        <f>IF(AND(ISNUMBER(BC27),BC27&lt;=Inputs!$D$193,BC27&gt;0),"RAISE WINDOW","")</f>
        <v/>
      </c>
      <c r="BD29" s="65">
        <f>IF(AND(ISNUMBER(BD27),BD27&lt;=Inputs!$D$193,BD27&gt;0),"RAISE WINDOW","")</f>
        <v/>
      </c>
      <c r="BE29" s="65">
        <f>IF(AND(ISNUMBER(BE27),BE27&lt;=Inputs!$D$193,BE27&gt;0),"RAISE WINDOW","")</f>
        <v/>
      </c>
      <c r="BF29" s="65">
        <f>IF(AND(ISNUMBER(BF27),BF27&lt;=Inputs!$D$193,BF27&gt;0),"RAISE WINDOW","")</f>
        <v/>
      </c>
      <c r="BG29" s="65">
        <f>IF(AND(ISNUMBER(BG27),BG27&lt;=Inputs!$D$193,BG27&gt;0),"RAISE WINDOW","")</f>
        <v/>
      </c>
      <c r="BH29" s="65">
        <f>IF(AND(ISNUMBER(BH27),BH27&lt;=Inputs!$D$193,BH27&gt;0),"RAISE WINDOW","")</f>
        <v/>
      </c>
      <c r="BI29" s="65">
        <f>IF(AND(ISNUMBER(BI27),BI27&lt;=Inputs!$D$193,BI27&gt;0),"RAISE WINDOW","")</f>
        <v/>
      </c>
      <c r="BJ29" s="65">
        <f>IF(AND(ISNUMBER(BJ27),BJ27&lt;=Inputs!$D$193,BJ27&gt;0),"RAISE WINDOW","")</f>
        <v/>
      </c>
      <c r="BK29" s="65">
        <f>IF(AND(ISNUMBER(BK27),BK27&lt;=Inputs!$D$193,BK27&gt;0),"RAISE WINDOW","")</f>
        <v/>
      </c>
    </row>
    <row r="30"/>
    <row r="31">
      <c r="B31" s="3" t="inlineStr">
        <is>
          <t>SUMMARY</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c r="AZ31" s="4" t="n"/>
      <c r="BA31" s="4" t="n"/>
      <c r="BB31" s="4" t="n"/>
      <c r="BC31" s="4" t="n"/>
      <c r="BD31" s="4" t="n"/>
      <c r="BE31" s="4" t="n"/>
      <c r="BF31" s="4" t="n"/>
      <c r="BG31" s="4" t="n"/>
      <c r="BH31" s="4" t="n"/>
      <c r="BI31" s="4" t="n"/>
      <c r="BJ31" s="4" t="n"/>
      <c r="BK31" s="4" t="n"/>
      <c r="BL31" s="4" t="n"/>
      <c r="BM31" s="4" t="n"/>
      <c r="BN31" s="4" t="n"/>
      <c r="BO31" s="4" t="n"/>
      <c r="BP31" s="4" t="n"/>
      <c r="BQ31" s="4" t="n"/>
    </row>
    <row r="32" hidden="1" outlineLevel="1">
      <c r="B32" s="28" t="inlineStr">
        <is>
          <t xml:space="preserve">    Breach flag helper</t>
        </is>
      </c>
      <c r="C32" s="19" t="inlineStr">
        <is>
          <t>0/1</t>
        </is>
      </c>
      <c r="D32" s="66">
        <f>IF('Cash Flow'!D34&lt;Inputs!$D$12,1,0)</f>
        <v/>
      </c>
      <c r="E32" s="66">
        <f>IF('Cash Flow'!E34&lt;Inputs!$D$12,1,0)</f>
        <v/>
      </c>
      <c r="F32" s="66">
        <f>IF('Cash Flow'!F34&lt;Inputs!$D$12,1,0)</f>
        <v/>
      </c>
      <c r="G32" s="66">
        <f>IF('Cash Flow'!G34&lt;Inputs!$D$12,1,0)</f>
        <v/>
      </c>
      <c r="H32" s="66">
        <f>IF('Cash Flow'!H34&lt;Inputs!$D$12,1,0)</f>
        <v/>
      </c>
      <c r="I32" s="66">
        <f>IF('Cash Flow'!I34&lt;Inputs!$D$12,1,0)</f>
        <v/>
      </c>
      <c r="J32" s="66">
        <f>IF('Cash Flow'!J34&lt;Inputs!$D$12,1,0)</f>
        <v/>
      </c>
      <c r="K32" s="66">
        <f>IF('Cash Flow'!K34&lt;Inputs!$D$12,1,0)</f>
        <v/>
      </c>
      <c r="L32" s="66">
        <f>IF('Cash Flow'!L34&lt;Inputs!$D$12,1,0)</f>
        <v/>
      </c>
      <c r="M32" s="66">
        <f>IF('Cash Flow'!M34&lt;Inputs!$D$12,1,0)</f>
        <v/>
      </c>
      <c r="N32" s="66">
        <f>IF('Cash Flow'!N34&lt;Inputs!$D$12,1,0)</f>
        <v/>
      </c>
      <c r="O32" s="66">
        <f>IF('Cash Flow'!O34&lt;Inputs!$D$12,1,0)</f>
        <v/>
      </c>
      <c r="P32" s="66">
        <f>IF('Cash Flow'!P34&lt;Inputs!$D$12,1,0)</f>
        <v/>
      </c>
      <c r="Q32" s="66">
        <f>IF('Cash Flow'!Q34&lt;Inputs!$D$12,1,0)</f>
        <v/>
      </c>
      <c r="R32" s="66">
        <f>IF('Cash Flow'!R34&lt;Inputs!$D$12,1,0)</f>
        <v/>
      </c>
      <c r="S32" s="66">
        <f>IF('Cash Flow'!S34&lt;Inputs!$D$12,1,0)</f>
        <v/>
      </c>
      <c r="T32" s="66">
        <f>IF('Cash Flow'!T34&lt;Inputs!$D$12,1,0)</f>
        <v/>
      </c>
      <c r="U32" s="66">
        <f>IF('Cash Flow'!U34&lt;Inputs!$D$12,1,0)</f>
        <v/>
      </c>
      <c r="V32" s="66">
        <f>IF('Cash Flow'!V34&lt;Inputs!$D$12,1,0)</f>
        <v/>
      </c>
      <c r="W32" s="66">
        <f>IF('Cash Flow'!W34&lt;Inputs!$D$12,1,0)</f>
        <v/>
      </c>
      <c r="X32" s="66">
        <f>IF('Cash Flow'!X34&lt;Inputs!$D$12,1,0)</f>
        <v/>
      </c>
      <c r="Y32" s="66">
        <f>IF('Cash Flow'!Y34&lt;Inputs!$D$12,1,0)</f>
        <v/>
      </c>
      <c r="Z32" s="66">
        <f>IF('Cash Flow'!Z34&lt;Inputs!$D$12,1,0)</f>
        <v/>
      </c>
      <c r="AA32" s="66">
        <f>IF('Cash Flow'!AA34&lt;Inputs!$D$12,1,0)</f>
        <v/>
      </c>
      <c r="AB32" s="66">
        <f>IF('Cash Flow'!AB34&lt;Inputs!$D$12,1,0)</f>
        <v/>
      </c>
      <c r="AC32" s="66">
        <f>IF('Cash Flow'!AC34&lt;Inputs!$D$12,1,0)</f>
        <v/>
      </c>
      <c r="AD32" s="66">
        <f>IF('Cash Flow'!AD34&lt;Inputs!$D$12,1,0)</f>
        <v/>
      </c>
      <c r="AE32" s="66">
        <f>IF('Cash Flow'!AE34&lt;Inputs!$D$12,1,0)</f>
        <v/>
      </c>
      <c r="AF32" s="66">
        <f>IF('Cash Flow'!AF34&lt;Inputs!$D$12,1,0)</f>
        <v/>
      </c>
      <c r="AG32" s="66">
        <f>IF('Cash Flow'!AG34&lt;Inputs!$D$12,1,0)</f>
        <v/>
      </c>
      <c r="AH32" s="66">
        <f>IF('Cash Flow'!AH34&lt;Inputs!$D$12,1,0)</f>
        <v/>
      </c>
      <c r="AI32" s="66">
        <f>IF('Cash Flow'!AI34&lt;Inputs!$D$12,1,0)</f>
        <v/>
      </c>
      <c r="AJ32" s="66">
        <f>IF('Cash Flow'!AJ34&lt;Inputs!$D$12,1,0)</f>
        <v/>
      </c>
      <c r="AK32" s="66">
        <f>IF('Cash Flow'!AK34&lt;Inputs!$D$12,1,0)</f>
        <v/>
      </c>
      <c r="AL32" s="66">
        <f>IF('Cash Flow'!AL34&lt;Inputs!$D$12,1,0)</f>
        <v/>
      </c>
      <c r="AM32" s="66">
        <f>IF('Cash Flow'!AM34&lt;Inputs!$D$12,1,0)</f>
        <v/>
      </c>
      <c r="AN32" s="66">
        <f>IF('Cash Flow'!AN34&lt;Inputs!$D$12,1,0)</f>
        <v/>
      </c>
      <c r="AO32" s="66">
        <f>IF('Cash Flow'!AO34&lt;Inputs!$D$12,1,0)</f>
        <v/>
      </c>
      <c r="AP32" s="66">
        <f>IF('Cash Flow'!AP34&lt;Inputs!$D$12,1,0)</f>
        <v/>
      </c>
      <c r="AQ32" s="66">
        <f>IF('Cash Flow'!AQ34&lt;Inputs!$D$12,1,0)</f>
        <v/>
      </c>
      <c r="AR32" s="66">
        <f>IF('Cash Flow'!AR34&lt;Inputs!$D$12,1,0)</f>
        <v/>
      </c>
      <c r="AS32" s="66">
        <f>IF('Cash Flow'!AS34&lt;Inputs!$D$12,1,0)</f>
        <v/>
      </c>
      <c r="AT32" s="66">
        <f>IF('Cash Flow'!AT34&lt;Inputs!$D$12,1,0)</f>
        <v/>
      </c>
      <c r="AU32" s="66">
        <f>IF('Cash Flow'!AU34&lt;Inputs!$D$12,1,0)</f>
        <v/>
      </c>
      <c r="AV32" s="66">
        <f>IF('Cash Flow'!AV34&lt;Inputs!$D$12,1,0)</f>
        <v/>
      </c>
      <c r="AW32" s="66">
        <f>IF('Cash Flow'!AW34&lt;Inputs!$D$12,1,0)</f>
        <v/>
      </c>
      <c r="AX32" s="66">
        <f>IF('Cash Flow'!AX34&lt;Inputs!$D$12,1,0)</f>
        <v/>
      </c>
      <c r="AY32" s="66">
        <f>IF('Cash Flow'!AY34&lt;Inputs!$D$12,1,0)</f>
        <v/>
      </c>
      <c r="AZ32" s="66">
        <f>IF('Cash Flow'!AZ34&lt;Inputs!$D$12,1,0)</f>
        <v/>
      </c>
      <c r="BA32" s="66">
        <f>IF('Cash Flow'!BA34&lt;Inputs!$D$12,1,0)</f>
        <v/>
      </c>
      <c r="BB32" s="66">
        <f>IF('Cash Flow'!BB34&lt;Inputs!$D$12,1,0)</f>
        <v/>
      </c>
      <c r="BC32" s="66">
        <f>IF('Cash Flow'!BC34&lt;Inputs!$D$12,1,0)</f>
        <v/>
      </c>
      <c r="BD32" s="66">
        <f>IF('Cash Flow'!BD34&lt;Inputs!$D$12,1,0)</f>
        <v/>
      </c>
      <c r="BE32" s="66">
        <f>IF('Cash Flow'!BE34&lt;Inputs!$D$12,1,0)</f>
        <v/>
      </c>
      <c r="BF32" s="66">
        <f>IF('Cash Flow'!BF34&lt;Inputs!$D$12,1,0)</f>
        <v/>
      </c>
      <c r="BG32" s="66">
        <f>IF('Cash Flow'!BG34&lt;Inputs!$D$12,1,0)</f>
        <v/>
      </c>
      <c r="BH32" s="66">
        <f>IF('Cash Flow'!BH34&lt;Inputs!$D$12,1,0)</f>
        <v/>
      </c>
      <c r="BI32" s="66">
        <f>IF('Cash Flow'!BI34&lt;Inputs!$D$12,1,0)</f>
        <v/>
      </c>
      <c r="BJ32" s="66">
        <f>IF('Cash Flow'!BJ34&lt;Inputs!$D$12,1,0)</f>
        <v/>
      </c>
      <c r="BK32" s="66">
        <f>IF('Cash Flow'!BK34&lt;Inputs!$D$12,1,0)</f>
        <v/>
      </c>
    </row>
    <row r="33" collapsed="1">
      <c r="B33" s="18" t="inlineStr">
        <is>
          <t xml:space="preserve">    Period in which the minimum balance is breached</t>
        </is>
      </c>
      <c r="C33" s="19" t="inlineStr">
        <is>
          <t>#</t>
        </is>
      </c>
      <c r="D33" s="67">
        <f>IFERROR(MATCH(1,D32:BK32,0),0)</f>
        <v/>
      </c>
    </row>
    <row r="34">
      <c r="B34" s="29" t="inlineStr">
        <is>
          <t xml:space="preserve">    Month the minimum balance is breached</t>
        </is>
      </c>
      <c r="C34" s="19" t="n"/>
      <c r="D34" s="68">
        <f>IF(D33=0,"No breach in five years",TEXT(INDEX('Cash Flow'!D$5:BK$5,D33),"mmm-yyyy"))</f>
        <v/>
      </c>
    </row>
    <row r="35">
      <c r="B35" s="29" t="inlineStr">
        <is>
          <t xml:space="preserve">    Raise decision date, eighteen months earlier</t>
        </is>
      </c>
      <c r="C35" s="19" t="n"/>
      <c r="D35" s="68">
        <f>IF(D33=0,"Not required in five years",TEXT(INDEX('Cash Flow'!D$5:BK$5,MAX(D33-Inputs!$D$193,1)),"mmm-yyyy"))</f>
        <v/>
      </c>
    </row>
    <row r="36">
      <c r="B36" s="29" t="inlineStr">
        <is>
          <t xml:space="preserve">    Trough cash balance</t>
        </is>
      </c>
      <c r="C36" s="19" t="n"/>
      <c r="D36" s="69">
        <f>MIN('Cash Flow'!D34:BK34)</f>
        <v/>
      </c>
    </row>
    <row r="37">
      <c r="B37" s="29" t="inlineStr">
        <is>
          <t xml:space="preserve">    Peak capital requirement</t>
        </is>
      </c>
      <c r="C37" s="19" t="n"/>
      <c r="D37" s="69">
        <f>MAX(Inputs!$D$12-MIN('Cash Flow'!D34:BK34),0)</f>
        <v/>
      </c>
    </row>
    <row r="38">
      <c r="B38" s="29" t="inlineStr">
        <is>
          <t xml:space="preserve">    ARR at the raise decision date</t>
        </is>
      </c>
      <c r="C38" s="19" t="n"/>
      <c r="D38" s="69">
        <f>IF(D33=0,"n/a",INDEX('Rev-ARR Bridge'!D26:BK26,MAX(D33-Inputs!$D$193,1)))</f>
        <v/>
      </c>
    </row>
  </sheetData>
  <pageMargins left="0.75" right="0.75" top="1" bottom="1" header="0.5" footer="0.5"/>
</worksheet>
</file>

<file path=xl/worksheets/sheet10.xml><?xml version="1.0" encoding="utf-8"?>
<worksheet xmlns="http://schemas.openxmlformats.org/spreadsheetml/2006/main">
  <sheetPr>
    <tabColor rgb="FF7030A0"/>
    <outlinePr summaryBelow="1" summaryRight="1"/>
    <pageSetUpPr/>
  </sheetPr>
  <dimension ref="A1:BQ37"/>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46" customWidth="1" min="2" max="2"/>
    <col width="9" customWidth="1" min="3" max="3"/>
    <col width="22" customWidth="1" min="4" max="9"/>
    <col width="11.5" customWidth="1" min="10" max="63"/>
    <col width="2.5" customWidth="1" min="64" max="64"/>
    <col width="13" customWidth="1" min="65" max="69"/>
  </cols>
  <sheetData>
    <row r="1"/>
    <row r="2" ht="19" customHeight="1">
      <c r="B2" s="12" t="inlineStr">
        <is>
          <t>Scenarios</t>
        </is>
      </c>
    </row>
    <row r="3"/>
    <row r="4"/>
    <row r="5">
      <c r="B5" s="3" t="inlineStr">
        <is>
          <t>ACTIVE SCENARIO, ANNUAL SUMMARY</t>
        </is>
      </c>
      <c r="C5" s="70">
        <f>Inputs!$E$5</f>
        <v/>
      </c>
      <c r="D5" s="4" t="n"/>
      <c r="E5" s="4" t="n"/>
      <c r="F5" s="4" t="n"/>
      <c r="G5" s="4" t="n"/>
      <c r="H5" s="4" t="n"/>
      <c r="I5" s="4" t="n"/>
      <c r="J5" s="70"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c r="AX5" s="4" t="n"/>
      <c r="AY5" s="4" t="n"/>
      <c r="AZ5" s="4" t="n"/>
      <c r="BA5" s="4" t="n"/>
      <c r="BB5" s="4" t="n"/>
      <c r="BC5" s="4" t="n"/>
      <c r="BD5" s="4" t="n"/>
      <c r="BE5" s="4" t="n"/>
      <c r="BF5" s="4" t="n"/>
      <c r="BG5" s="4" t="n"/>
      <c r="BH5" s="4" t="n"/>
      <c r="BI5" s="4" t="n"/>
      <c r="BJ5" s="4" t="n"/>
      <c r="BK5" s="4" t="n"/>
      <c r="BL5" s="4" t="n"/>
      <c r="BM5" s="4" t="n"/>
      <c r="BN5" s="4" t="n"/>
      <c r="BO5" s="4" t="n"/>
      <c r="BP5" s="4" t="n"/>
      <c r="BQ5" s="4" t="n"/>
    </row>
    <row r="6">
      <c r="D6" s="17" t="inlineStr">
        <is>
          <t>FY2026</t>
        </is>
      </c>
      <c r="E6" s="17" t="inlineStr">
        <is>
          <t>FY2027</t>
        </is>
      </c>
      <c r="F6" s="17" t="inlineStr">
        <is>
          <t>FY2028</t>
        </is>
      </c>
      <c r="G6" s="17" t="inlineStr">
        <is>
          <t>FY2029</t>
        </is>
      </c>
      <c r="H6" s="17" t="inlineStr">
        <is>
          <t>FY2030</t>
        </is>
      </c>
    </row>
    <row r="7">
      <c r="B7" s="18" t="inlineStr">
        <is>
          <t xml:space="preserve">    Ending ARR</t>
        </is>
      </c>
      <c r="C7" s="19" t="n"/>
      <c r="D7" s="71">
        <f>'Rev-ARR Bridge'!BM26</f>
        <v/>
      </c>
      <c r="E7" s="71">
        <f>'Rev-ARR Bridge'!BN26</f>
        <v/>
      </c>
      <c r="F7" s="71">
        <f>'Rev-ARR Bridge'!BO26</f>
        <v/>
      </c>
      <c r="G7" s="71">
        <f>'Rev-ARR Bridge'!BP26</f>
        <v/>
      </c>
      <c r="H7" s="71">
        <f>'Rev-ARR Bridge'!BQ26</f>
        <v/>
      </c>
    </row>
    <row r="8">
      <c r="B8" s="18" t="inlineStr">
        <is>
          <t xml:space="preserve">    ARR growth</t>
        </is>
      </c>
      <c r="C8" s="19" t="n"/>
      <c r="D8" s="72">
        <f>'Rev-ARR Bridge'!BM27</f>
        <v/>
      </c>
      <c r="E8" s="72">
        <f>'Rev-ARR Bridge'!BN27</f>
        <v/>
      </c>
      <c r="F8" s="72">
        <f>'Rev-ARR Bridge'!BO27</f>
        <v/>
      </c>
      <c r="G8" s="72">
        <f>'Rev-ARR Bridge'!BP27</f>
        <v/>
      </c>
      <c r="H8" s="72">
        <f>'Rev-ARR Bridge'!BQ27</f>
        <v/>
      </c>
    </row>
    <row r="9">
      <c r="B9" s="18" t="inlineStr">
        <is>
          <t xml:space="preserve">    Revenue</t>
        </is>
      </c>
      <c r="C9" s="19" t="n"/>
      <c r="D9" s="71">
        <f>'P&amp;L'!BM13</f>
        <v/>
      </c>
      <c r="E9" s="71">
        <f>'P&amp;L'!BN13</f>
        <v/>
      </c>
      <c r="F9" s="71">
        <f>'P&amp;L'!BO13</f>
        <v/>
      </c>
      <c r="G9" s="71">
        <f>'P&amp;L'!BP13</f>
        <v/>
      </c>
      <c r="H9" s="71">
        <f>'P&amp;L'!BQ13</f>
        <v/>
      </c>
    </row>
    <row r="10">
      <c r="B10" s="18" t="inlineStr">
        <is>
          <t xml:space="preserve">    Gross margin</t>
        </is>
      </c>
      <c r="C10" s="19" t="n"/>
      <c r="D10" s="73">
        <f>'P&amp;L'!BM25</f>
        <v/>
      </c>
      <c r="E10" s="73">
        <f>'P&amp;L'!BN25</f>
        <v/>
      </c>
      <c r="F10" s="73">
        <f>'P&amp;L'!BO25</f>
        <v/>
      </c>
      <c r="G10" s="73">
        <f>'P&amp;L'!BP25</f>
        <v/>
      </c>
      <c r="H10" s="73">
        <f>'P&amp;L'!BQ25</f>
        <v/>
      </c>
    </row>
    <row r="11">
      <c r="B11" s="18" t="inlineStr">
        <is>
          <t xml:space="preserve">    EBITDA</t>
        </is>
      </c>
      <c r="C11" s="19" t="n"/>
      <c r="D11" s="71">
        <f>'P&amp;L'!BM43</f>
        <v/>
      </c>
      <c r="E11" s="71">
        <f>'P&amp;L'!BN43</f>
        <v/>
      </c>
      <c r="F11" s="71">
        <f>'P&amp;L'!BO43</f>
        <v/>
      </c>
      <c r="G11" s="71">
        <f>'P&amp;L'!BP43</f>
        <v/>
      </c>
      <c r="H11" s="71">
        <f>'P&amp;L'!BQ43</f>
        <v/>
      </c>
    </row>
    <row r="12">
      <c r="B12" s="18" t="inlineStr">
        <is>
          <t xml:space="preserve">    Free cash flow</t>
        </is>
      </c>
      <c r="C12" s="19" t="n"/>
      <c r="D12" s="71">
        <f>'Cash Flow'!BM33</f>
        <v/>
      </c>
      <c r="E12" s="71">
        <f>'Cash Flow'!BN33</f>
        <v/>
      </c>
      <c r="F12" s="71">
        <f>'Cash Flow'!BO33</f>
        <v/>
      </c>
      <c r="G12" s="71">
        <f>'Cash Flow'!BP33</f>
        <v/>
      </c>
      <c r="H12" s="71">
        <f>'Cash Flow'!BQ33</f>
        <v/>
      </c>
    </row>
    <row r="13">
      <c r="B13" s="18" t="inlineStr">
        <is>
          <t xml:space="preserve">    Closing cash</t>
        </is>
      </c>
      <c r="C13" s="19" t="n"/>
      <c r="D13" s="71">
        <f>'Cash Flow'!BM34</f>
        <v/>
      </c>
      <c r="E13" s="71">
        <f>'Cash Flow'!BN34</f>
        <v/>
      </c>
      <c r="F13" s="71">
        <f>'Cash Flow'!BO34</f>
        <v/>
      </c>
      <c r="G13" s="71">
        <f>'Cash Flow'!BP34</f>
        <v/>
      </c>
      <c r="H13" s="71">
        <f>'Cash Flow'!BQ34</f>
        <v/>
      </c>
    </row>
    <row r="14">
      <c r="B14" s="18" t="inlineStr">
        <is>
          <t xml:space="preserve">    Headcount</t>
        </is>
      </c>
      <c r="C14" s="19" t="n"/>
      <c r="D14" s="74">
        <f>Headcount!BM20</f>
        <v/>
      </c>
      <c r="E14" s="74">
        <f>Headcount!BN20</f>
        <v/>
      </c>
      <c r="F14" s="74">
        <f>Headcount!BO20</f>
        <v/>
      </c>
      <c r="G14" s="74">
        <f>Headcount!BP20</f>
        <v/>
      </c>
      <c r="H14" s="74">
        <f>Headcount!BQ20</f>
        <v/>
      </c>
    </row>
    <row r="15">
      <c r="B15" s="18" t="inlineStr">
        <is>
          <t xml:space="preserve">    ARR per FTE</t>
        </is>
      </c>
      <c r="C15" s="19" t="n"/>
      <c r="D15" s="71">
        <f>KPIs!BM17</f>
        <v/>
      </c>
      <c r="E15" s="71">
        <f>KPIs!BN17</f>
        <v/>
      </c>
      <c r="F15" s="71">
        <f>KPIs!BO17</f>
        <v/>
      </c>
      <c r="G15" s="71">
        <f>KPIs!BP17</f>
        <v/>
      </c>
      <c r="H15" s="71">
        <f>KPIs!BQ17</f>
        <v/>
      </c>
    </row>
    <row r="16">
      <c r="B16" s="18" t="inlineStr">
        <is>
          <t xml:space="preserve">    Net revenue retention</t>
        </is>
      </c>
      <c r="C16" s="19" t="n"/>
      <c r="D16" s="73">
        <f>KPIs!BM10</f>
        <v/>
      </c>
      <c r="E16" s="73">
        <f>KPIs!BN10</f>
        <v/>
      </c>
      <c r="F16" s="73">
        <f>KPIs!BO10</f>
        <v/>
      </c>
      <c r="G16" s="73">
        <f>KPIs!BP10</f>
        <v/>
      </c>
      <c r="H16" s="73">
        <f>KPIs!BQ10</f>
        <v/>
      </c>
    </row>
    <row r="17">
      <c r="B17" s="18" t="inlineStr">
        <is>
          <t xml:space="preserve">    Burn multiple</t>
        </is>
      </c>
      <c r="C17" s="19" t="n"/>
      <c r="D17" s="75">
        <f>KPIs!BM16</f>
        <v/>
      </c>
      <c r="E17" s="75">
        <f>KPIs!BN16</f>
        <v/>
      </c>
      <c r="F17" s="75">
        <f>KPIs!BO16</f>
        <v/>
      </c>
      <c r="G17" s="75">
        <f>KPIs!BP16</f>
        <v/>
      </c>
      <c r="H17" s="75">
        <f>KPIs!BQ16</f>
        <v/>
      </c>
    </row>
    <row r="18"/>
    <row r="19"/>
    <row r="20">
      <c r="B20" s="3" t="inlineStr">
        <is>
          <t>SCENARIO COMPARISON</t>
        </is>
      </c>
      <c r="C20" s="4" t="n"/>
      <c r="D20" s="4" t="n"/>
      <c r="E20" s="4" t="n"/>
      <c r="F20" s="4" t="n"/>
      <c r="G20" s="4" t="n"/>
      <c r="H20" s="4" t="n"/>
      <c r="I20" s="4" t="n"/>
      <c r="J20" s="4" t="n"/>
    </row>
    <row r="21">
      <c r="D21" s="17" t="inlineStr">
        <is>
          <t>FY26 ARR</t>
        </is>
      </c>
      <c r="E21" s="17" t="inlineStr">
        <is>
          <t>FY28 ARR</t>
        </is>
      </c>
      <c r="F21" s="17" t="inlineStr">
        <is>
          <t>FY30 ARR</t>
        </is>
      </c>
      <c r="G21" s="17" t="inlineStr">
        <is>
          <t>FY30 headcount</t>
        </is>
      </c>
      <c r="H21" s="17" t="inlineStr">
        <is>
          <t>ARR per FTE</t>
        </is>
      </c>
      <c r="I21" s="17" t="inlineStr">
        <is>
          <t>Trough cash</t>
        </is>
      </c>
      <c r="J21" s="17" t="inlineStr">
        <is>
          <t>Breach</t>
        </is>
      </c>
      <c r="K21" s="17" t="n"/>
    </row>
    <row r="22">
      <c r="B22" s="29" t="inlineStr">
        <is>
          <t xml:space="preserve">    Base</t>
        </is>
      </c>
      <c r="C22" s="19" t="n"/>
      <c r="D22" s="101" t="n">
        <v>123460222.7490077</v>
      </c>
      <c r="E22" s="101" t="n">
        <v>368496346.1787535</v>
      </c>
      <c r="F22" s="101" t="n">
        <v>729138368.9632381</v>
      </c>
      <c r="G22" s="102" t="n">
        <v>1456.95332487539</v>
      </c>
      <c r="H22" s="101" t="n">
        <v>500454.1713960534</v>
      </c>
      <c r="I22" s="101" t="n">
        <v>19393953.2076007</v>
      </c>
      <c r="J22" s="103" t="inlineStr">
        <is>
          <t>Oct-2028</t>
        </is>
      </c>
      <c r="K22" s="76" t="n"/>
    </row>
    <row r="23">
      <c r="B23" s="18" t="inlineStr">
        <is>
          <t xml:space="preserve">    Upside</t>
        </is>
      </c>
      <c r="C23" s="19" t="n"/>
      <c r="D23" s="77" t="n">
        <v>143505682.0314447</v>
      </c>
      <c r="E23" s="77" t="n">
        <v>550766094.253466</v>
      </c>
      <c r="F23" s="77" t="n">
        <v>1229924238.717099</v>
      </c>
      <c r="G23" s="78" t="n">
        <v>2162.845437550847</v>
      </c>
      <c r="H23" s="77" t="n">
        <v>568660.255311556</v>
      </c>
      <c r="I23" s="77" t="n">
        <v>19556579.47485062</v>
      </c>
      <c r="J23" s="79" t="inlineStr">
        <is>
          <t>Apr-2028</t>
        </is>
      </c>
      <c r="K23" s="77" t="n"/>
    </row>
    <row r="24">
      <c r="B24" s="18" t="inlineStr">
        <is>
          <t xml:space="preserve">    Downside</t>
        </is>
      </c>
      <c r="C24" s="19" t="n"/>
      <c r="D24" s="77" t="n">
        <v>115010949.7393592</v>
      </c>
      <c r="E24" s="77" t="n">
        <v>321360911.2354812</v>
      </c>
      <c r="F24" s="77" t="n">
        <v>617350462.6482303</v>
      </c>
      <c r="G24" s="78" t="n">
        <v>1440.196494639038</v>
      </c>
      <c r="H24" s="77" t="n">
        <v>428657.1068227459</v>
      </c>
      <c r="I24" s="77" t="n">
        <v>-71990518.56748286</v>
      </c>
      <c r="J24" s="79" t="inlineStr">
        <is>
          <t>Feb-2028</t>
        </is>
      </c>
      <c r="K24" s="77" t="n"/>
    </row>
    <row r="25">
      <c r="B25" s="18" t="inlineStr">
        <is>
          <t xml:space="preserve">    Agents-Led</t>
        </is>
      </c>
      <c r="C25" s="19" t="n"/>
      <c r="D25" s="77" t="n">
        <v>131236675.3488159</v>
      </c>
      <c r="E25" s="77" t="n">
        <v>468402618.2765939</v>
      </c>
      <c r="F25" s="77" t="n">
        <v>1064392812.343214</v>
      </c>
      <c r="G25" s="78" t="n">
        <v>1612.95332487539</v>
      </c>
      <c r="H25" s="77" t="n">
        <v>659903.0461253084</v>
      </c>
      <c r="I25" s="77" t="n">
        <v>6823599.525031891</v>
      </c>
      <c r="J25" s="79" t="inlineStr">
        <is>
          <t>Apr-2028</t>
        </is>
      </c>
      <c r="K25" s="77" t="n"/>
    </row>
    <row r="26">
      <c r="B26" s="18" t="inlineStr">
        <is>
          <t xml:space="preserve">    Downside + Freeze</t>
        </is>
      </c>
      <c r="C26" s="19" t="n"/>
      <c r="D26" s="77" t="n">
        <v>115010949.7393592</v>
      </c>
      <c r="E26" s="77" t="n">
        <v>296098745.9477427</v>
      </c>
      <c r="F26" s="77" t="n">
        <v>508807699.5941626</v>
      </c>
      <c r="G26" s="78" t="n">
        <v>681.1348586921084</v>
      </c>
      <c r="H26" s="77" t="n">
        <v>746999.9414963985</v>
      </c>
      <c r="I26" s="77" t="n">
        <v>54628474.70282971</v>
      </c>
      <c r="J26" s="79" t="inlineStr">
        <is>
          <t>NA</t>
        </is>
      </c>
      <c r="K26" s="77" t="n"/>
    </row>
    <row r="27"/>
    <row r="28">
      <c r="B28" s="23" t="n"/>
    </row>
    <row r="29"/>
    <row r="30">
      <c r="B30" s="3" t="inlineStr">
        <is>
          <t>WHAT EACH CASE CHANGES, AND WHY IT EXISTS</t>
        </is>
      </c>
      <c r="C30" s="4" t="n"/>
      <c r="D30" s="4" t="n"/>
      <c r="E30" s="4" t="n"/>
      <c r="F30" s="4" t="n"/>
      <c r="G30" s="4" t="n"/>
      <c r="H30" s="4" t="n"/>
      <c r="I30" s="4" t="n"/>
      <c r="J30" s="4" t="n"/>
    </row>
    <row r="31">
      <c r="D31" s="80" t="inlineStr">
        <is>
          <t>Inputs it changes</t>
        </is>
      </c>
      <c r="G31" s="80" t="inlineStr">
        <is>
          <t>Why it exists</t>
        </is>
      </c>
    </row>
    <row r="32" ht="46" customHeight="1">
      <c r="B32" s="98" t="inlineStr">
        <is>
          <t xml:space="preserve">    Base</t>
        </is>
      </c>
      <c r="C32" s="99" t="n"/>
      <c r="D32" s="97" t="inlineStr">
        <is>
          <t>Reference case. Nothing overridden.</t>
        </is>
      </c>
      <c r="E32" s="88" t="n"/>
      <c r="F32" s="88" t="n"/>
      <c r="G32" s="97" t="inlineStr">
        <is>
          <t>The plan as currently resourced. Every other case is expressed as a change from this.</t>
        </is>
      </c>
    </row>
    <row r="33" ht="46" customHeight="1">
      <c r="B33" s="98" t="inlineStr">
        <is>
          <t xml:space="preserve">    Upside</t>
        </is>
      </c>
      <c r="C33" s="99" t="n"/>
      <c r="D33" s="97" t="inlineStr">
        <is>
          <t>Attainment 78 to 85 per cent. AE hiring up. First renewal survival 92 to 94 per cent. Seat expansion up. Agents attach up. R&amp;D hiring up.</t>
        </is>
      </c>
      <c r="E33" s="88" t="n"/>
      <c r="F33" s="88" t="n"/>
      <c r="G33" s="97" t="inlineStr">
        <is>
          <t>The whole engine runs better at once. Note that it still breaches the cash floor, because faster growth pulls investment forward. Growth does not remove the funding requirement.</t>
        </is>
      </c>
    </row>
    <row r="34" ht="46" customHeight="1">
      <c r="B34" s="98" t="inlineStr">
        <is>
          <t xml:space="preserve">    Downside</t>
        </is>
      </c>
      <c r="C34" s="99" t="n"/>
      <c r="D34" s="97" t="inlineStr">
        <is>
          <t>Attainment 78 to 74 per cent. First renewal survival 92 to 88.5 per cent. Seat expansion down. Agents attach down. Hiring largely unchanged.</t>
        </is>
      </c>
      <c r="E34" s="88" t="n"/>
      <c r="F34" s="88" t="n"/>
      <c r="G34" s="97" t="inlineStr">
        <is>
          <t>Growth disappoints while the hiring plan is already committed. Hiring is deliberately NOT cut here, because a downside that already contains its own remedy is not a downside.</t>
        </is>
      </c>
    </row>
    <row r="35" ht="46" customHeight="1">
      <c r="B35" s="98" t="inlineStr">
        <is>
          <t xml:space="preserve">    Downside + Freeze</t>
        </is>
      </c>
      <c r="C35" s="99" t="n"/>
      <c r="D35" s="97" t="inlineStr">
        <is>
          <t>Downside growth, plus R&amp;D hiring cut to roughly a quarter, G&amp;A hiring cut to a third, AE hiring cut, and CS coverage widened from 13 to 16 accounts per manager.</t>
        </is>
      </c>
      <c r="E35" s="88" t="n"/>
      <c r="F35" s="88" t="n"/>
      <c r="G35" s="97" t="inlineStr">
        <is>
          <t>Not a forecast. It isolates the management lever, showing what the cost response buys and what it costs. It is a sharp slowdown rather than a literal freeze, because a true freeze would not backfill attrition and the company would shrink.</t>
        </is>
      </c>
    </row>
    <row r="36" ht="46" customHeight="1">
      <c r="B36" s="98" t="inlineStr">
        <is>
          <t xml:space="preserve">    Agents-Led</t>
        </is>
      </c>
      <c r="C36" s="99" t="n"/>
      <c r="D36" s="97" t="inlineStr">
        <is>
          <t>Agents attach roughly doubles. Agents ACV moves from 45 to 80 per cent of core ACV, growing 18 rather than 12 per cent. R&amp;D hiring up. Core sales and retention are untouched.</t>
        </is>
      </c>
      <c r="E36" s="88" t="n"/>
      <c r="F36" s="88" t="n"/>
      <c r="G36" s="97" t="inlineStr">
        <is>
          <t>Tests the strategic question of whether Agents becomes the primary product. It differs from Upside in that Upside improves the existing engine, while this changes which product the company is. It also has a worse near term cash profile, because usage bills in arrears while subscriptions bill upfront.</t>
        </is>
      </c>
    </row>
    <row r="37">
      <c r="B37" s="100" t="n"/>
      <c r="C37" s="88" t="n"/>
      <c r="D37" s="88" t="n"/>
      <c r="E37" s="88" t="n"/>
      <c r="F37" s="88" t="n"/>
      <c r="G37" s="88" t="n"/>
    </row>
  </sheetData>
  <pageMargins left="0.75" right="0.75" top="1" bottom="1" header="0.5" footer="0.5"/>
  <pageSetup orientation="portrait" horizontalDpi="0" verticalDpi="0"/>
</worksheet>
</file>

<file path=xl/worksheets/sheet11.xml><?xml version="1.0" encoding="utf-8"?>
<worksheet xmlns="http://schemas.openxmlformats.org/spreadsheetml/2006/main">
  <sheetPr>
    <tabColor rgb="FFBF8F00"/>
    <outlinePr summaryBelow="1" summaryRight="1"/>
    <pageSetUpPr/>
  </sheetPr>
  <dimension ref="A1:BQ27"/>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min="1" max="1"/>
    <col width="46" customWidth="1" min="2" max="2"/>
    <col width="9" customWidth="1" min="3" max="3"/>
    <col width="11.5" customWidth="1" min="4" max="63"/>
    <col width="2.5" customWidth="1" min="64" max="64"/>
    <col width="13" customWidth="1" min="65" max="69"/>
  </cols>
  <sheetData>
    <row r="1"/>
    <row r="2" ht="19" customHeight="1">
      <c r="B2" s="12" t="inlineStr">
        <is>
          <t>Checks</t>
        </is>
      </c>
    </row>
    <row r="3"/>
    <row r="4"/>
    <row r="5">
      <c r="B5" s="18" t="inlineStr">
        <is>
          <t>Month ending</t>
        </is>
      </c>
      <c r="C5" s="19" t="n"/>
      <c r="D5" s="36" t="n">
        <v>46053</v>
      </c>
      <c r="E5" s="36" t="n">
        <v>46081</v>
      </c>
      <c r="F5" s="36" t="n">
        <v>46112</v>
      </c>
      <c r="G5" s="36" t="n">
        <v>46142</v>
      </c>
      <c r="H5" s="36" t="n">
        <v>46173</v>
      </c>
      <c r="I5" s="36" t="n">
        <v>46203</v>
      </c>
      <c r="J5" s="36" t="n">
        <v>46234</v>
      </c>
      <c r="K5" s="36" t="n">
        <v>46265</v>
      </c>
      <c r="L5" s="36" t="n">
        <v>46295</v>
      </c>
      <c r="M5" s="36" t="n">
        <v>46326</v>
      </c>
      <c r="N5" s="36" t="n">
        <v>46356</v>
      </c>
      <c r="O5" s="36" t="n">
        <v>46387</v>
      </c>
      <c r="P5" s="36" t="n">
        <v>46418</v>
      </c>
      <c r="Q5" s="36" t="n">
        <v>46446</v>
      </c>
      <c r="R5" s="36" t="n">
        <v>46477</v>
      </c>
      <c r="S5" s="36" t="n">
        <v>46507</v>
      </c>
      <c r="T5" s="36" t="n">
        <v>46538</v>
      </c>
      <c r="U5" s="36" t="n">
        <v>46568</v>
      </c>
      <c r="V5" s="36" t="n">
        <v>46599</v>
      </c>
      <c r="W5" s="36" t="n">
        <v>46630</v>
      </c>
      <c r="X5" s="36" t="n">
        <v>46660</v>
      </c>
      <c r="Y5" s="36" t="n">
        <v>46691</v>
      </c>
      <c r="Z5" s="36" t="n">
        <v>46721</v>
      </c>
      <c r="AA5" s="36" t="n">
        <v>46752</v>
      </c>
      <c r="AB5" s="36" t="n">
        <v>46783</v>
      </c>
      <c r="AC5" s="36" t="n">
        <v>46812</v>
      </c>
      <c r="AD5" s="36" t="n">
        <v>46843</v>
      </c>
      <c r="AE5" s="36" t="n">
        <v>46873</v>
      </c>
      <c r="AF5" s="36" t="n">
        <v>46904</v>
      </c>
      <c r="AG5" s="36" t="n">
        <v>46934</v>
      </c>
      <c r="AH5" s="36" t="n">
        <v>46965</v>
      </c>
      <c r="AI5" s="36" t="n">
        <v>46996</v>
      </c>
      <c r="AJ5" s="36" t="n">
        <v>47026</v>
      </c>
      <c r="AK5" s="36" t="n">
        <v>47057</v>
      </c>
      <c r="AL5" s="36" t="n">
        <v>47087</v>
      </c>
      <c r="AM5" s="36" t="n">
        <v>47118</v>
      </c>
      <c r="AN5" s="36" t="n">
        <v>47149</v>
      </c>
      <c r="AO5" s="36" t="n">
        <v>47177</v>
      </c>
      <c r="AP5" s="36" t="n">
        <v>47208</v>
      </c>
      <c r="AQ5" s="36" t="n">
        <v>47238</v>
      </c>
      <c r="AR5" s="36" t="n">
        <v>47269</v>
      </c>
      <c r="AS5" s="36" t="n">
        <v>47299</v>
      </c>
      <c r="AT5" s="36" t="n">
        <v>47330</v>
      </c>
      <c r="AU5" s="36" t="n">
        <v>47361</v>
      </c>
      <c r="AV5" s="36" t="n">
        <v>47391</v>
      </c>
      <c r="AW5" s="36" t="n">
        <v>47422</v>
      </c>
      <c r="AX5" s="36" t="n">
        <v>47452</v>
      </c>
      <c r="AY5" s="36" t="n">
        <v>47483</v>
      </c>
      <c r="AZ5" s="36" t="n">
        <v>47514</v>
      </c>
      <c r="BA5" s="36" t="n">
        <v>47542</v>
      </c>
      <c r="BB5" s="36" t="n">
        <v>47573</v>
      </c>
      <c r="BC5" s="36" t="n">
        <v>47603</v>
      </c>
      <c r="BD5" s="36" t="n">
        <v>47634</v>
      </c>
      <c r="BE5" s="36" t="n">
        <v>47664</v>
      </c>
      <c r="BF5" s="36" t="n">
        <v>47695</v>
      </c>
      <c r="BG5" s="36" t="n">
        <v>47726</v>
      </c>
      <c r="BH5" s="36" t="n">
        <v>47756</v>
      </c>
      <c r="BI5" s="36" t="n">
        <v>47787</v>
      </c>
      <c r="BJ5" s="36" t="n">
        <v>47817</v>
      </c>
      <c r="BK5" s="36" t="n">
        <v>47848</v>
      </c>
      <c r="BM5" s="37" t="inlineStr">
        <is>
          <t>FY2026</t>
        </is>
      </c>
      <c r="BN5" s="37" t="inlineStr">
        <is>
          <t>FY2027</t>
        </is>
      </c>
      <c r="BO5" s="37" t="inlineStr">
        <is>
          <t>FY2028</t>
        </is>
      </c>
      <c r="BP5" s="37" t="inlineStr">
        <is>
          <t>FY2029</t>
        </is>
      </c>
      <c r="BQ5" s="37" t="inlineStr">
        <is>
          <t>FY2030</t>
        </is>
      </c>
    </row>
    <row r="6">
      <c r="B6" s="18" t="inlineStr">
        <is>
          <t>Fiscal year</t>
        </is>
      </c>
      <c r="C6" s="19" t="n"/>
      <c r="D6" s="38" t="n">
        <v>2026</v>
      </c>
      <c r="E6" s="38" t="n">
        <v>2026</v>
      </c>
      <c r="F6" s="38" t="n">
        <v>2026</v>
      </c>
      <c r="G6" s="38" t="n">
        <v>2026</v>
      </c>
      <c r="H6" s="38" t="n">
        <v>2026</v>
      </c>
      <c r="I6" s="38" t="n">
        <v>2026</v>
      </c>
      <c r="J6" s="38" t="n">
        <v>2026</v>
      </c>
      <c r="K6" s="38" t="n">
        <v>2026</v>
      </c>
      <c r="L6" s="38" t="n">
        <v>2026</v>
      </c>
      <c r="M6" s="38" t="n">
        <v>2026</v>
      </c>
      <c r="N6" s="38" t="n">
        <v>2026</v>
      </c>
      <c r="O6" s="38" t="n">
        <v>2026</v>
      </c>
      <c r="P6" s="38" t="n">
        <v>2027</v>
      </c>
      <c r="Q6" s="38" t="n">
        <v>2027</v>
      </c>
      <c r="R6" s="38" t="n">
        <v>2027</v>
      </c>
      <c r="S6" s="38" t="n">
        <v>2027</v>
      </c>
      <c r="T6" s="38" t="n">
        <v>2027</v>
      </c>
      <c r="U6" s="38" t="n">
        <v>2027</v>
      </c>
      <c r="V6" s="38" t="n">
        <v>2027</v>
      </c>
      <c r="W6" s="38" t="n">
        <v>2027</v>
      </c>
      <c r="X6" s="38" t="n">
        <v>2027</v>
      </c>
      <c r="Y6" s="38" t="n">
        <v>2027</v>
      </c>
      <c r="Z6" s="38" t="n">
        <v>2027</v>
      </c>
      <c r="AA6" s="38" t="n">
        <v>2027</v>
      </c>
      <c r="AB6" s="38" t="n">
        <v>2028</v>
      </c>
      <c r="AC6" s="38" t="n">
        <v>2028</v>
      </c>
      <c r="AD6" s="38" t="n">
        <v>2028</v>
      </c>
      <c r="AE6" s="38" t="n">
        <v>2028</v>
      </c>
      <c r="AF6" s="38" t="n">
        <v>2028</v>
      </c>
      <c r="AG6" s="38" t="n">
        <v>2028</v>
      </c>
      <c r="AH6" s="38" t="n">
        <v>2028</v>
      </c>
      <c r="AI6" s="38" t="n">
        <v>2028</v>
      </c>
      <c r="AJ6" s="38" t="n">
        <v>2028</v>
      </c>
      <c r="AK6" s="38" t="n">
        <v>2028</v>
      </c>
      <c r="AL6" s="38" t="n">
        <v>2028</v>
      </c>
      <c r="AM6" s="38" t="n">
        <v>2028</v>
      </c>
      <c r="AN6" s="38" t="n">
        <v>2029</v>
      </c>
      <c r="AO6" s="38" t="n">
        <v>2029</v>
      </c>
      <c r="AP6" s="38" t="n">
        <v>2029</v>
      </c>
      <c r="AQ6" s="38" t="n">
        <v>2029</v>
      </c>
      <c r="AR6" s="38" t="n">
        <v>2029</v>
      </c>
      <c r="AS6" s="38" t="n">
        <v>2029</v>
      </c>
      <c r="AT6" s="38" t="n">
        <v>2029</v>
      </c>
      <c r="AU6" s="38" t="n">
        <v>2029</v>
      </c>
      <c r="AV6" s="38" t="n">
        <v>2029</v>
      </c>
      <c r="AW6" s="38" t="n">
        <v>2029</v>
      </c>
      <c r="AX6" s="38" t="n">
        <v>2029</v>
      </c>
      <c r="AY6" s="38" t="n">
        <v>2029</v>
      </c>
      <c r="AZ6" s="38" t="n">
        <v>2030</v>
      </c>
      <c r="BA6" s="38" t="n">
        <v>2030</v>
      </c>
      <c r="BB6" s="38" t="n">
        <v>2030</v>
      </c>
      <c r="BC6" s="38" t="n">
        <v>2030</v>
      </c>
      <c r="BD6" s="38" t="n">
        <v>2030</v>
      </c>
      <c r="BE6" s="38" t="n">
        <v>2030</v>
      </c>
      <c r="BF6" s="38" t="n">
        <v>2030</v>
      </c>
      <c r="BG6" s="38" t="n">
        <v>2030</v>
      </c>
      <c r="BH6" s="38" t="n">
        <v>2030</v>
      </c>
      <c r="BI6" s="38" t="n">
        <v>2030</v>
      </c>
      <c r="BJ6" s="38" t="n">
        <v>2030</v>
      </c>
      <c r="BK6" s="38" t="n">
        <v>2030</v>
      </c>
    </row>
    <row r="7">
      <c r="B7" s="39" t="inlineStr">
        <is>
          <t>Period</t>
        </is>
      </c>
      <c r="C7" s="40" t="n"/>
      <c r="D7" s="41" t="n">
        <v>1</v>
      </c>
      <c r="E7" s="41" t="n">
        <v>2</v>
      </c>
      <c r="F7" s="41" t="n">
        <v>3</v>
      </c>
      <c r="G7" s="41" t="n">
        <v>4</v>
      </c>
      <c r="H7" s="41" t="n">
        <v>5</v>
      </c>
      <c r="I7" s="41" t="n">
        <v>6</v>
      </c>
      <c r="J7" s="41" t="n">
        <v>7</v>
      </c>
      <c r="K7" s="41" t="n">
        <v>8</v>
      </c>
      <c r="L7" s="41" t="n">
        <v>9</v>
      </c>
      <c r="M7" s="41" t="n">
        <v>10</v>
      </c>
      <c r="N7" s="41" t="n">
        <v>11</v>
      </c>
      <c r="O7" s="41" t="n">
        <v>12</v>
      </c>
      <c r="P7" s="41" t="n">
        <v>13</v>
      </c>
      <c r="Q7" s="41" t="n">
        <v>14</v>
      </c>
      <c r="R7" s="41" t="n">
        <v>15</v>
      </c>
      <c r="S7" s="41" t="n">
        <v>16</v>
      </c>
      <c r="T7" s="41" t="n">
        <v>17</v>
      </c>
      <c r="U7" s="41" t="n">
        <v>18</v>
      </c>
      <c r="V7" s="41" t="n">
        <v>19</v>
      </c>
      <c r="W7" s="41" t="n">
        <v>20</v>
      </c>
      <c r="X7" s="41" t="n">
        <v>21</v>
      </c>
      <c r="Y7" s="41" t="n">
        <v>22</v>
      </c>
      <c r="Z7" s="41" t="n">
        <v>23</v>
      </c>
      <c r="AA7" s="41" t="n">
        <v>24</v>
      </c>
      <c r="AB7" s="41" t="n">
        <v>25</v>
      </c>
      <c r="AC7" s="41" t="n">
        <v>26</v>
      </c>
      <c r="AD7" s="41" t="n">
        <v>27</v>
      </c>
      <c r="AE7" s="41" t="n">
        <v>28</v>
      </c>
      <c r="AF7" s="41" t="n">
        <v>29</v>
      </c>
      <c r="AG7" s="41" t="n">
        <v>30</v>
      </c>
      <c r="AH7" s="41" t="n">
        <v>31</v>
      </c>
      <c r="AI7" s="41" t="n">
        <v>32</v>
      </c>
      <c r="AJ7" s="41" t="n">
        <v>33</v>
      </c>
      <c r="AK7" s="41" t="n">
        <v>34</v>
      </c>
      <c r="AL7" s="41" t="n">
        <v>35</v>
      </c>
      <c r="AM7" s="41" t="n">
        <v>36</v>
      </c>
      <c r="AN7" s="41" t="n">
        <v>37</v>
      </c>
      <c r="AO7" s="41" t="n">
        <v>38</v>
      </c>
      <c r="AP7" s="41" t="n">
        <v>39</v>
      </c>
      <c r="AQ7" s="41" t="n">
        <v>40</v>
      </c>
      <c r="AR7" s="41" t="n">
        <v>41</v>
      </c>
      <c r="AS7" s="41" t="n">
        <v>42</v>
      </c>
      <c r="AT7" s="41" t="n">
        <v>43</v>
      </c>
      <c r="AU7" s="41" t="n">
        <v>44</v>
      </c>
      <c r="AV7" s="41" t="n">
        <v>45</v>
      </c>
      <c r="AW7" s="41" t="n">
        <v>46</v>
      </c>
      <c r="AX7" s="41" t="n">
        <v>47</v>
      </c>
      <c r="AY7" s="41" t="n">
        <v>48</v>
      </c>
      <c r="AZ7" s="41" t="n">
        <v>49</v>
      </c>
      <c r="BA7" s="41" t="n">
        <v>50</v>
      </c>
      <c r="BB7" s="41" t="n">
        <v>51</v>
      </c>
      <c r="BC7" s="41" t="n">
        <v>52</v>
      </c>
      <c r="BD7" s="41" t="n">
        <v>53</v>
      </c>
      <c r="BE7" s="41" t="n">
        <v>54</v>
      </c>
      <c r="BF7" s="41" t="n">
        <v>55</v>
      </c>
      <c r="BG7" s="41" t="n">
        <v>56</v>
      </c>
      <c r="BH7" s="41" t="n">
        <v>57</v>
      </c>
      <c r="BI7" s="41" t="n">
        <v>58</v>
      </c>
      <c r="BJ7" s="41" t="n">
        <v>59</v>
      </c>
      <c r="BK7" s="41" t="n">
        <v>60</v>
      </c>
      <c r="BL7" s="27" t="n"/>
      <c r="BM7" s="27" t="n"/>
      <c r="BN7" s="27" t="n"/>
      <c r="BO7" s="27" t="n"/>
      <c r="BP7" s="27" t="n"/>
      <c r="BQ7" s="27" t="n"/>
    </row>
    <row r="8"/>
    <row r="9">
      <c r="B9" s="3" t="inlineStr">
        <is>
          <t>PERIOD BY PERIOD RECONCILIATIONS</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n"/>
      <c r="BQ9" s="4" t="n"/>
    </row>
    <row r="10">
      <c r="B10" s="18" t="inlineStr">
        <is>
          <t xml:space="preserve">    Cohort triangle foots to the ARR bridge</t>
        </is>
      </c>
      <c r="C10" s="19" t="n"/>
      <c r="D10" s="81">
        <f>ABS('Rev-Cohorts'!D92-'Rev-ARR Bridge'!D14)&lt;1</f>
        <v/>
      </c>
      <c r="E10" s="81">
        <f>ABS('Rev-Cohorts'!E92-'Rev-ARR Bridge'!E14)&lt;1</f>
        <v/>
      </c>
      <c r="F10" s="81">
        <f>ABS('Rev-Cohorts'!F92-'Rev-ARR Bridge'!F14)&lt;1</f>
        <v/>
      </c>
      <c r="G10" s="81">
        <f>ABS('Rev-Cohorts'!G92-'Rev-ARR Bridge'!G14)&lt;1</f>
        <v/>
      </c>
      <c r="H10" s="81">
        <f>ABS('Rev-Cohorts'!H92-'Rev-ARR Bridge'!H14)&lt;1</f>
        <v/>
      </c>
      <c r="I10" s="81">
        <f>ABS('Rev-Cohorts'!I92-'Rev-ARR Bridge'!I14)&lt;1</f>
        <v/>
      </c>
      <c r="J10" s="81">
        <f>ABS('Rev-Cohorts'!J92-'Rev-ARR Bridge'!J14)&lt;1</f>
        <v/>
      </c>
      <c r="K10" s="81">
        <f>ABS('Rev-Cohorts'!K92-'Rev-ARR Bridge'!K14)&lt;1</f>
        <v/>
      </c>
      <c r="L10" s="81">
        <f>ABS('Rev-Cohorts'!L92-'Rev-ARR Bridge'!L14)&lt;1</f>
        <v/>
      </c>
      <c r="M10" s="81">
        <f>ABS('Rev-Cohorts'!M92-'Rev-ARR Bridge'!M14)&lt;1</f>
        <v/>
      </c>
      <c r="N10" s="81">
        <f>ABS('Rev-Cohorts'!N92-'Rev-ARR Bridge'!N14)&lt;1</f>
        <v/>
      </c>
      <c r="O10" s="81">
        <f>ABS('Rev-Cohorts'!O92-'Rev-ARR Bridge'!O14)&lt;1</f>
        <v/>
      </c>
      <c r="P10" s="81">
        <f>ABS('Rev-Cohorts'!P92-'Rev-ARR Bridge'!P14)&lt;1</f>
        <v/>
      </c>
      <c r="Q10" s="81">
        <f>ABS('Rev-Cohorts'!Q92-'Rev-ARR Bridge'!Q14)&lt;1</f>
        <v/>
      </c>
      <c r="R10" s="81">
        <f>ABS('Rev-Cohorts'!R92-'Rev-ARR Bridge'!R14)&lt;1</f>
        <v/>
      </c>
      <c r="S10" s="81">
        <f>ABS('Rev-Cohorts'!S92-'Rev-ARR Bridge'!S14)&lt;1</f>
        <v/>
      </c>
      <c r="T10" s="81">
        <f>ABS('Rev-Cohorts'!T92-'Rev-ARR Bridge'!T14)&lt;1</f>
        <v/>
      </c>
      <c r="U10" s="81">
        <f>ABS('Rev-Cohorts'!U92-'Rev-ARR Bridge'!U14)&lt;1</f>
        <v/>
      </c>
      <c r="V10" s="81">
        <f>ABS('Rev-Cohorts'!V92-'Rev-ARR Bridge'!V14)&lt;1</f>
        <v/>
      </c>
      <c r="W10" s="81">
        <f>ABS('Rev-Cohorts'!W92-'Rev-ARR Bridge'!W14)&lt;1</f>
        <v/>
      </c>
      <c r="X10" s="81">
        <f>ABS('Rev-Cohorts'!X92-'Rev-ARR Bridge'!X14)&lt;1</f>
        <v/>
      </c>
      <c r="Y10" s="81">
        <f>ABS('Rev-Cohorts'!Y92-'Rev-ARR Bridge'!Y14)&lt;1</f>
        <v/>
      </c>
      <c r="Z10" s="81">
        <f>ABS('Rev-Cohorts'!Z92-'Rev-ARR Bridge'!Z14)&lt;1</f>
        <v/>
      </c>
      <c r="AA10" s="81">
        <f>ABS('Rev-Cohorts'!AA92-'Rev-ARR Bridge'!AA14)&lt;1</f>
        <v/>
      </c>
      <c r="AB10" s="81">
        <f>ABS('Rev-Cohorts'!AB92-'Rev-ARR Bridge'!AB14)&lt;1</f>
        <v/>
      </c>
      <c r="AC10" s="81">
        <f>ABS('Rev-Cohorts'!AC92-'Rev-ARR Bridge'!AC14)&lt;1</f>
        <v/>
      </c>
      <c r="AD10" s="81">
        <f>ABS('Rev-Cohorts'!AD92-'Rev-ARR Bridge'!AD14)&lt;1</f>
        <v/>
      </c>
      <c r="AE10" s="81">
        <f>ABS('Rev-Cohorts'!AE92-'Rev-ARR Bridge'!AE14)&lt;1</f>
        <v/>
      </c>
      <c r="AF10" s="81">
        <f>ABS('Rev-Cohorts'!AF92-'Rev-ARR Bridge'!AF14)&lt;1</f>
        <v/>
      </c>
      <c r="AG10" s="81">
        <f>ABS('Rev-Cohorts'!AG92-'Rev-ARR Bridge'!AG14)&lt;1</f>
        <v/>
      </c>
      <c r="AH10" s="81">
        <f>ABS('Rev-Cohorts'!AH92-'Rev-ARR Bridge'!AH14)&lt;1</f>
        <v/>
      </c>
      <c r="AI10" s="81">
        <f>ABS('Rev-Cohorts'!AI92-'Rev-ARR Bridge'!AI14)&lt;1</f>
        <v/>
      </c>
      <c r="AJ10" s="81">
        <f>ABS('Rev-Cohorts'!AJ92-'Rev-ARR Bridge'!AJ14)&lt;1</f>
        <v/>
      </c>
      <c r="AK10" s="81">
        <f>ABS('Rev-Cohorts'!AK92-'Rev-ARR Bridge'!AK14)&lt;1</f>
        <v/>
      </c>
      <c r="AL10" s="81">
        <f>ABS('Rev-Cohorts'!AL92-'Rev-ARR Bridge'!AL14)&lt;1</f>
        <v/>
      </c>
      <c r="AM10" s="81">
        <f>ABS('Rev-Cohorts'!AM92-'Rev-ARR Bridge'!AM14)&lt;1</f>
        <v/>
      </c>
      <c r="AN10" s="81">
        <f>ABS('Rev-Cohorts'!AN92-'Rev-ARR Bridge'!AN14)&lt;1</f>
        <v/>
      </c>
      <c r="AO10" s="81">
        <f>ABS('Rev-Cohorts'!AO92-'Rev-ARR Bridge'!AO14)&lt;1</f>
        <v/>
      </c>
      <c r="AP10" s="81">
        <f>ABS('Rev-Cohorts'!AP92-'Rev-ARR Bridge'!AP14)&lt;1</f>
        <v/>
      </c>
      <c r="AQ10" s="81">
        <f>ABS('Rev-Cohorts'!AQ92-'Rev-ARR Bridge'!AQ14)&lt;1</f>
        <v/>
      </c>
      <c r="AR10" s="81">
        <f>ABS('Rev-Cohorts'!AR92-'Rev-ARR Bridge'!AR14)&lt;1</f>
        <v/>
      </c>
      <c r="AS10" s="81">
        <f>ABS('Rev-Cohorts'!AS92-'Rev-ARR Bridge'!AS14)&lt;1</f>
        <v/>
      </c>
      <c r="AT10" s="81">
        <f>ABS('Rev-Cohorts'!AT92-'Rev-ARR Bridge'!AT14)&lt;1</f>
        <v/>
      </c>
      <c r="AU10" s="81">
        <f>ABS('Rev-Cohorts'!AU92-'Rev-ARR Bridge'!AU14)&lt;1</f>
        <v/>
      </c>
      <c r="AV10" s="81">
        <f>ABS('Rev-Cohorts'!AV92-'Rev-ARR Bridge'!AV14)&lt;1</f>
        <v/>
      </c>
      <c r="AW10" s="81">
        <f>ABS('Rev-Cohorts'!AW92-'Rev-ARR Bridge'!AW14)&lt;1</f>
        <v/>
      </c>
      <c r="AX10" s="81">
        <f>ABS('Rev-Cohorts'!AX92-'Rev-ARR Bridge'!AX14)&lt;1</f>
        <v/>
      </c>
      <c r="AY10" s="81">
        <f>ABS('Rev-Cohorts'!AY92-'Rev-ARR Bridge'!AY14)&lt;1</f>
        <v/>
      </c>
      <c r="AZ10" s="81">
        <f>ABS('Rev-Cohorts'!AZ92-'Rev-ARR Bridge'!AZ14)&lt;1</f>
        <v/>
      </c>
      <c r="BA10" s="81">
        <f>ABS('Rev-Cohorts'!BA92-'Rev-ARR Bridge'!BA14)&lt;1</f>
        <v/>
      </c>
      <c r="BB10" s="81">
        <f>ABS('Rev-Cohorts'!BB92-'Rev-ARR Bridge'!BB14)&lt;1</f>
        <v/>
      </c>
      <c r="BC10" s="81">
        <f>ABS('Rev-Cohorts'!BC92-'Rev-ARR Bridge'!BC14)&lt;1</f>
        <v/>
      </c>
      <c r="BD10" s="81">
        <f>ABS('Rev-Cohorts'!BD92-'Rev-ARR Bridge'!BD14)&lt;1</f>
        <v/>
      </c>
      <c r="BE10" s="81">
        <f>ABS('Rev-Cohorts'!BE92-'Rev-ARR Bridge'!BE14)&lt;1</f>
        <v/>
      </c>
      <c r="BF10" s="81">
        <f>ABS('Rev-Cohorts'!BF92-'Rev-ARR Bridge'!BF14)&lt;1</f>
        <v/>
      </c>
      <c r="BG10" s="81">
        <f>ABS('Rev-Cohorts'!BG92-'Rev-ARR Bridge'!BG14)&lt;1</f>
        <v/>
      </c>
      <c r="BH10" s="81">
        <f>ABS('Rev-Cohorts'!BH92-'Rev-ARR Bridge'!BH14)&lt;1</f>
        <v/>
      </c>
      <c r="BI10" s="81">
        <f>ABS('Rev-Cohorts'!BI92-'Rev-ARR Bridge'!BI14)&lt;1</f>
        <v/>
      </c>
      <c r="BJ10" s="81">
        <f>ABS('Rev-Cohorts'!BJ92-'Rev-ARR Bridge'!BJ14)&lt;1</f>
        <v/>
      </c>
      <c r="BK10" s="81">
        <f>ABS('Rev-Cohorts'!BK92-'Rev-ARR Bridge'!BK14)&lt;1</f>
        <v/>
      </c>
      <c r="BM10" s="82">
        <f>IF(COUNTIF(D10:BK10,FALSE)=0,"OK","FAIL")</f>
        <v/>
      </c>
    </row>
    <row r="11">
      <c r="B11" s="18" t="inlineStr">
        <is>
          <t xml:space="preserve">    ARR bridge internally consistent, beginning plus new plus expansion less churn</t>
        </is>
      </c>
      <c r="C11" s="19" t="n"/>
      <c r="D11" s="81">
        <f>ABS('Rev-ARR Bridge'!D10+'Rev-ARR Bridge'!D11+'Rev-ARR Bridge'!D12+'Rev-ARR Bridge'!D13-'Rev-ARR Bridge'!D14)&lt;1</f>
        <v/>
      </c>
      <c r="E11" s="81">
        <f>ABS('Rev-ARR Bridge'!E10+'Rev-ARR Bridge'!E11+'Rev-ARR Bridge'!E12+'Rev-ARR Bridge'!E13-'Rev-ARR Bridge'!E14)&lt;1</f>
        <v/>
      </c>
      <c r="F11" s="81">
        <f>ABS('Rev-ARR Bridge'!F10+'Rev-ARR Bridge'!F11+'Rev-ARR Bridge'!F12+'Rev-ARR Bridge'!F13-'Rev-ARR Bridge'!F14)&lt;1</f>
        <v/>
      </c>
      <c r="G11" s="81">
        <f>ABS('Rev-ARR Bridge'!G10+'Rev-ARR Bridge'!G11+'Rev-ARR Bridge'!G12+'Rev-ARR Bridge'!G13-'Rev-ARR Bridge'!G14)&lt;1</f>
        <v/>
      </c>
      <c r="H11" s="81">
        <f>ABS('Rev-ARR Bridge'!H10+'Rev-ARR Bridge'!H11+'Rev-ARR Bridge'!H12+'Rev-ARR Bridge'!H13-'Rev-ARR Bridge'!H14)&lt;1</f>
        <v/>
      </c>
      <c r="I11" s="81">
        <f>ABS('Rev-ARR Bridge'!I10+'Rev-ARR Bridge'!I11+'Rev-ARR Bridge'!I12+'Rev-ARR Bridge'!I13-'Rev-ARR Bridge'!I14)&lt;1</f>
        <v/>
      </c>
      <c r="J11" s="81">
        <f>ABS('Rev-ARR Bridge'!J10+'Rev-ARR Bridge'!J11+'Rev-ARR Bridge'!J12+'Rev-ARR Bridge'!J13-'Rev-ARR Bridge'!J14)&lt;1</f>
        <v/>
      </c>
      <c r="K11" s="81">
        <f>ABS('Rev-ARR Bridge'!K10+'Rev-ARR Bridge'!K11+'Rev-ARR Bridge'!K12+'Rev-ARR Bridge'!K13-'Rev-ARR Bridge'!K14)&lt;1</f>
        <v/>
      </c>
      <c r="L11" s="81">
        <f>ABS('Rev-ARR Bridge'!L10+'Rev-ARR Bridge'!L11+'Rev-ARR Bridge'!L12+'Rev-ARR Bridge'!L13-'Rev-ARR Bridge'!L14)&lt;1</f>
        <v/>
      </c>
      <c r="M11" s="81">
        <f>ABS('Rev-ARR Bridge'!M10+'Rev-ARR Bridge'!M11+'Rev-ARR Bridge'!M12+'Rev-ARR Bridge'!M13-'Rev-ARR Bridge'!M14)&lt;1</f>
        <v/>
      </c>
      <c r="N11" s="81">
        <f>ABS('Rev-ARR Bridge'!N10+'Rev-ARR Bridge'!N11+'Rev-ARR Bridge'!N12+'Rev-ARR Bridge'!N13-'Rev-ARR Bridge'!N14)&lt;1</f>
        <v/>
      </c>
      <c r="O11" s="81">
        <f>ABS('Rev-ARR Bridge'!O10+'Rev-ARR Bridge'!O11+'Rev-ARR Bridge'!O12+'Rev-ARR Bridge'!O13-'Rev-ARR Bridge'!O14)&lt;1</f>
        <v/>
      </c>
      <c r="P11" s="81">
        <f>ABS('Rev-ARR Bridge'!P10+'Rev-ARR Bridge'!P11+'Rev-ARR Bridge'!P12+'Rev-ARR Bridge'!P13-'Rev-ARR Bridge'!P14)&lt;1</f>
        <v/>
      </c>
      <c r="Q11" s="81">
        <f>ABS('Rev-ARR Bridge'!Q10+'Rev-ARR Bridge'!Q11+'Rev-ARR Bridge'!Q12+'Rev-ARR Bridge'!Q13-'Rev-ARR Bridge'!Q14)&lt;1</f>
        <v/>
      </c>
      <c r="R11" s="81">
        <f>ABS('Rev-ARR Bridge'!R10+'Rev-ARR Bridge'!R11+'Rev-ARR Bridge'!R12+'Rev-ARR Bridge'!R13-'Rev-ARR Bridge'!R14)&lt;1</f>
        <v/>
      </c>
      <c r="S11" s="81">
        <f>ABS('Rev-ARR Bridge'!S10+'Rev-ARR Bridge'!S11+'Rev-ARR Bridge'!S12+'Rev-ARR Bridge'!S13-'Rev-ARR Bridge'!S14)&lt;1</f>
        <v/>
      </c>
      <c r="T11" s="81">
        <f>ABS('Rev-ARR Bridge'!T10+'Rev-ARR Bridge'!T11+'Rev-ARR Bridge'!T12+'Rev-ARR Bridge'!T13-'Rev-ARR Bridge'!T14)&lt;1</f>
        <v/>
      </c>
      <c r="U11" s="81">
        <f>ABS('Rev-ARR Bridge'!U10+'Rev-ARR Bridge'!U11+'Rev-ARR Bridge'!U12+'Rev-ARR Bridge'!U13-'Rev-ARR Bridge'!U14)&lt;1</f>
        <v/>
      </c>
      <c r="V11" s="81">
        <f>ABS('Rev-ARR Bridge'!V10+'Rev-ARR Bridge'!V11+'Rev-ARR Bridge'!V12+'Rev-ARR Bridge'!V13-'Rev-ARR Bridge'!V14)&lt;1</f>
        <v/>
      </c>
      <c r="W11" s="81">
        <f>ABS('Rev-ARR Bridge'!W10+'Rev-ARR Bridge'!W11+'Rev-ARR Bridge'!W12+'Rev-ARR Bridge'!W13-'Rev-ARR Bridge'!W14)&lt;1</f>
        <v/>
      </c>
      <c r="X11" s="81">
        <f>ABS('Rev-ARR Bridge'!X10+'Rev-ARR Bridge'!X11+'Rev-ARR Bridge'!X12+'Rev-ARR Bridge'!X13-'Rev-ARR Bridge'!X14)&lt;1</f>
        <v/>
      </c>
      <c r="Y11" s="81">
        <f>ABS('Rev-ARR Bridge'!Y10+'Rev-ARR Bridge'!Y11+'Rev-ARR Bridge'!Y12+'Rev-ARR Bridge'!Y13-'Rev-ARR Bridge'!Y14)&lt;1</f>
        <v/>
      </c>
      <c r="Z11" s="81">
        <f>ABS('Rev-ARR Bridge'!Z10+'Rev-ARR Bridge'!Z11+'Rev-ARR Bridge'!Z12+'Rev-ARR Bridge'!Z13-'Rev-ARR Bridge'!Z14)&lt;1</f>
        <v/>
      </c>
      <c r="AA11" s="81">
        <f>ABS('Rev-ARR Bridge'!AA10+'Rev-ARR Bridge'!AA11+'Rev-ARR Bridge'!AA12+'Rev-ARR Bridge'!AA13-'Rev-ARR Bridge'!AA14)&lt;1</f>
        <v/>
      </c>
      <c r="AB11" s="81">
        <f>ABS('Rev-ARR Bridge'!AB10+'Rev-ARR Bridge'!AB11+'Rev-ARR Bridge'!AB12+'Rev-ARR Bridge'!AB13-'Rev-ARR Bridge'!AB14)&lt;1</f>
        <v/>
      </c>
      <c r="AC11" s="81">
        <f>ABS('Rev-ARR Bridge'!AC10+'Rev-ARR Bridge'!AC11+'Rev-ARR Bridge'!AC12+'Rev-ARR Bridge'!AC13-'Rev-ARR Bridge'!AC14)&lt;1</f>
        <v/>
      </c>
      <c r="AD11" s="81">
        <f>ABS('Rev-ARR Bridge'!AD10+'Rev-ARR Bridge'!AD11+'Rev-ARR Bridge'!AD12+'Rev-ARR Bridge'!AD13-'Rev-ARR Bridge'!AD14)&lt;1</f>
        <v/>
      </c>
      <c r="AE11" s="81">
        <f>ABS('Rev-ARR Bridge'!AE10+'Rev-ARR Bridge'!AE11+'Rev-ARR Bridge'!AE12+'Rev-ARR Bridge'!AE13-'Rev-ARR Bridge'!AE14)&lt;1</f>
        <v/>
      </c>
      <c r="AF11" s="81">
        <f>ABS('Rev-ARR Bridge'!AF10+'Rev-ARR Bridge'!AF11+'Rev-ARR Bridge'!AF12+'Rev-ARR Bridge'!AF13-'Rev-ARR Bridge'!AF14)&lt;1</f>
        <v/>
      </c>
      <c r="AG11" s="81">
        <f>ABS('Rev-ARR Bridge'!AG10+'Rev-ARR Bridge'!AG11+'Rev-ARR Bridge'!AG12+'Rev-ARR Bridge'!AG13-'Rev-ARR Bridge'!AG14)&lt;1</f>
        <v/>
      </c>
      <c r="AH11" s="81">
        <f>ABS('Rev-ARR Bridge'!AH10+'Rev-ARR Bridge'!AH11+'Rev-ARR Bridge'!AH12+'Rev-ARR Bridge'!AH13-'Rev-ARR Bridge'!AH14)&lt;1</f>
        <v/>
      </c>
      <c r="AI11" s="81">
        <f>ABS('Rev-ARR Bridge'!AI10+'Rev-ARR Bridge'!AI11+'Rev-ARR Bridge'!AI12+'Rev-ARR Bridge'!AI13-'Rev-ARR Bridge'!AI14)&lt;1</f>
        <v/>
      </c>
      <c r="AJ11" s="81">
        <f>ABS('Rev-ARR Bridge'!AJ10+'Rev-ARR Bridge'!AJ11+'Rev-ARR Bridge'!AJ12+'Rev-ARR Bridge'!AJ13-'Rev-ARR Bridge'!AJ14)&lt;1</f>
        <v/>
      </c>
      <c r="AK11" s="81">
        <f>ABS('Rev-ARR Bridge'!AK10+'Rev-ARR Bridge'!AK11+'Rev-ARR Bridge'!AK12+'Rev-ARR Bridge'!AK13-'Rev-ARR Bridge'!AK14)&lt;1</f>
        <v/>
      </c>
      <c r="AL11" s="81">
        <f>ABS('Rev-ARR Bridge'!AL10+'Rev-ARR Bridge'!AL11+'Rev-ARR Bridge'!AL12+'Rev-ARR Bridge'!AL13-'Rev-ARR Bridge'!AL14)&lt;1</f>
        <v/>
      </c>
      <c r="AM11" s="81">
        <f>ABS('Rev-ARR Bridge'!AM10+'Rev-ARR Bridge'!AM11+'Rev-ARR Bridge'!AM12+'Rev-ARR Bridge'!AM13-'Rev-ARR Bridge'!AM14)&lt;1</f>
        <v/>
      </c>
      <c r="AN11" s="81">
        <f>ABS('Rev-ARR Bridge'!AN10+'Rev-ARR Bridge'!AN11+'Rev-ARR Bridge'!AN12+'Rev-ARR Bridge'!AN13-'Rev-ARR Bridge'!AN14)&lt;1</f>
        <v/>
      </c>
      <c r="AO11" s="81">
        <f>ABS('Rev-ARR Bridge'!AO10+'Rev-ARR Bridge'!AO11+'Rev-ARR Bridge'!AO12+'Rev-ARR Bridge'!AO13-'Rev-ARR Bridge'!AO14)&lt;1</f>
        <v/>
      </c>
      <c r="AP11" s="81">
        <f>ABS('Rev-ARR Bridge'!AP10+'Rev-ARR Bridge'!AP11+'Rev-ARR Bridge'!AP12+'Rev-ARR Bridge'!AP13-'Rev-ARR Bridge'!AP14)&lt;1</f>
        <v/>
      </c>
      <c r="AQ11" s="81">
        <f>ABS('Rev-ARR Bridge'!AQ10+'Rev-ARR Bridge'!AQ11+'Rev-ARR Bridge'!AQ12+'Rev-ARR Bridge'!AQ13-'Rev-ARR Bridge'!AQ14)&lt;1</f>
        <v/>
      </c>
      <c r="AR11" s="81">
        <f>ABS('Rev-ARR Bridge'!AR10+'Rev-ARR Bridge'!AR11+'Rev-ARR Bridge'!AR12+'Rev-ARR Bridge'!AR13-'Rev-ARR Bridge'!AR14)&lt;1</f>
        <v/>
      </c>
      <c r="AS11" s="81">
        <f>ABS('Rev-ARR Bridge'!AS10+'Rev-ARR Bridge'!AS11+'Rev-ARR Bridge'!AS12+'Rev-ARR Bridge'!AS13-'Rev-ARR Bridge'!AS14)&lt;1</f>
        <v/>
      </c>
      <c r="AT11" s="81">
        <f>ABS('Rev-ARR Bridge'!AT10+'Rev-ARR Bridge'!AT11+'Rev-ARR Bridge'!AT12+'Rev-ARR Bridge'!AT13-'Rev-ARR Bridge'!AT14)&lt;1</f>
        <v/>
      </c>
      <c r="AU11" s="81">
        <f>ABS('Rev-ARR Bridge'!AU10+'Rev-ARR Bridge'!AU11+'Rev-ARR Bridge'!AU12+'Rev-ARR Bridge'!AU13-'Rev-ARR Bridge'!AU14)&lt;1</f>
        <v/>
      </c>
      <c r="AV11" s="81">
        <f>ABS('Rev-ARR Bridge'!AV10+'Rev-ARR Bridge'!AV11+'Rev-ARR Bridge'!AV12+'Rev-ARR Bridge'!AV13-'Rev-ARR Bridge'!AV14)&lt;1</f>
        <v/>
      </c>
      <c r="AW11" s="81">
        <f>ABS('Rev-ARR Bridge'!AW10+'Rev-ARR Bridge'!AW11+'Rev-ARR Bridge'!AW12+'Rev-ARR Bridge'!AW13-'Rev-ARR Bridge'!AW14)&lt;1</f>
        <v/>
      </c>
      <c r="AX11" s="81">
        <f>ABS('Rev-ARR Bridge'!AX10+'Rev-ARR Bridge'!AX11+'Rev-ARR Bridge'!AX12+'Rev-ARR Bridge'!AX13-'Rev-ARR Bridge'!AX14)&lt;1</f>
        <v/>
      </c>
      <c r="AY11" s="81">
        <f>ABS('Rev-ARR Bridge'!AY10+'Rev-ARR Bridge'!AY11+'Rev-ARR Bridge'!AY12+'Rev-ARR Bridge'!AY13-'Rev-ARR Bridge'!AY14)&lt;1</f>
        <v/>
      </c>
      <c r="AZ11" s="81">
        <f>ABS('Rev-ARR Bridge'!AZ10+'Rev-ARR Bridge'!AZ11+'Rev-ARR Bridge'!AZ12+'Rev-ARR Bridge'!AZ13-'Rev-ARR Bridge'!AZ14)&lt;1</f>
        <v/>
      </c>
      <c r="BA11" s="81">
        <f>ABS('Rev-ARR Bridge'!BA10+'Rev-ARR Bridge'!BA11+'Rev-ARR Bridge'!BA12+'Rev-ARR Bridge'!BA13-'Rev-ARR Bridge'!BA14)&lt;1</f>
        <v/>
      </c>
      <c r="BB11" s="81">
        <f>ABS('Rev-ARR Bridge'!BB10+'Rev-ARR Bridge'!BB11+'Rev-ARR Bridge'!BB12+'Rev-ARR Bridge'!BB13-'Rev-ARR Bridge'!BB14)&lt;1</f>
        <v/>
      </c>
      <c r="BC11" s="81">
        <f>ABS('Rev-ARR Bridge'!BC10+'Rev-ARR Bridge'!BC11+'Rev-ARR Bridge'!BC12+'Rev-ARR Bridge'!BC13-'Rev-ARR Bridge'!BC14)&lt;1</f>
        <v/>
      </c>
      <c r="BD11" s="81">
        <f>ABS('Rev-ARR Bridge'!BD10+'Rev-ARR Bridge'!BD11+'Rev-ARR Bridge'!BD12+'Rev-ARR Bridge'!BD13-'Rev-ARR Bridge'!BD14)&lt;1</f>
        <v/>
      </c>
      <c r="BE11" s="81">
        <f>ABS('Rev-ARR Bridge'!BE10+'Rev-ARR Bridge'!BE11+'Rev-ARR Bridge'!BE12+'Rev-ARR Bridge'!BE13-'Rev-ARR Bridge'!BE14)&lt;1</f>
        <v/>
      </c>
      <c r="BF11" s="81">
        <f>ABS('Rev-ARR Bridge'!BF10+'Rev-ARR Bridge'!BF11+'Rev-ARR Bridge'!BF12+'Rev-ARR Bridge'!BF13-'Rev-ARR Bridge'!BF14)&lt;1</f>
        <v/>
      </c>
      <c r="BG11" s="81">
        <f>ABS('Rev-ARR Bridge'!BG10+'Rev-ARR Bridge'!BG11+'Rev-ARR Bridge'!BG12+'Rev-ARR Bridge'!BG13-'Rev-ARR Bridge'!BG14)&lt;1</f>
        <v/>
      </c>
      <c r="BH11" s="81">
        <f>ABS('Rev-ARR Bridge'!BH10+'Rev-ARR Bridge'!BH11+'Rev-ARR Bridge'!BH12+'Rev-ARR Bridge'!BH13-'Rev-ARR Bridge'!BH14)&lt;1</f>
        <v/>
      </c>
      <c r="BI11" s="81">
        <f>ABS('Rev-ARR Bridge'!BI10+'Rev-ARR Bridge'!BI11+'Rev-ARR Bridge'!BI12+'Rev-ARR Bridge'!BI13-'Rev-ARR Bridge'!BI14)&lt;1</f>
        <v/>
      </c>
      <c r="BJ11" s="81">
        <f>ABS('Rev-ARR Bridge'!BJ10+'Rev-ARR Bridge'!BJ11+'Rev-ARR Bridge'!BJ12+'Rev-ARR Bridge'!BJ13-'Rev-ARR Bridge'!BJ14)&lt;1</f>
        <v/>
      </c>
      <c r="BK11" s="81">
        <f>ABS('Rev-ARR Bridge'!BK10+'Rev-ARR Bridge'!BK11+'Rev-ARR Bridge'!BK12+'Rev-ARR Bridge'!BK13-'Rev-ARR Bridge'!BK14)&lt;1</f>
        <v/>
      </c>
      <c r="BM11" s="82">
        <f>IF(COUNTIF(D11:BK11,FALSE)=0,"OK","FAIL")</f>
        <v/>
      </c>
    </row>
    <row r="12">
      <c r="B12" s="18" t="inlineStr">
        <is>
          <t xml:space="preserve">    Cash roll continuous, opening plus free cash flow equals closing</t>
        </is>
      </c>
      <c r="C12" s="19" t="n"/>
      <c r="D12" s="81">
        <f>ABS('Cash Flow'!D30+'Cash Flow'!D33-'Cash Flow'!D34)&lt;0.01</f>
        <v/>
      </c>
      <c r="E12" s="81">
        <f>ABS('Cash Flow'!E30+'Cash Flow'!E33-'Cash Flow'!E34)&lt;0.01</f>
        <v/>
      </c>
      <c r="F12" s="81">
        <f>ABS('Cash Flow'!F30+'Cash Flow'!F33-'Cash Flow'!F34)&lt;0.01</f>
        <v/>
      </c>
      <c r="G12" s="81">
        <f>ABS('Cash Flow'!G30+'Cash Flow'!G33-'Cash Flow'!G34)&lt;0.01</f>
        <v/>
      </c>
      <c r="H12" s="81">
        <f>ABS('Cash Flow'!H30+'Cash Flow'!H33-'Cash Flow'!H34)&lt;0.01</f>
        <v/>
      </c>
      <c r="I12" s="81">
        <f>ABS('Cash Flow'!I30+'Cash Flow'!I33-'Cash Flow'!I34)&lt;0.01</f>
        <v/>
      </c>
      <c r="J12" s="81">
        <f>ABS('Cash Flow'!J30+'Cash Flow'!J33-'Cash Flow'!J34)&lt;0.01</f>
        <v/>
      </c>
      <c r="K12" s="81">
        <f>ABS('Cash Flow'!K30+'Cash Flow'!K33-'Cash Flow'!K34)&lt;0.01</f>
        <v/>
      </c>
      <c r="L12" s="81">
        <f>ABS('Cash Flow'!L30+'Cash Flow'!L33-'Cash Flow'!L34)&lt;0.01</f>
        <v/>
      </c>
      <c r="M12" s="81">
        <f>ABS('Cash Flow'!M30+'Cash Flow'!M33-'Cash Flow'!M34)&lt;0.01</f>
        <v/>
      </c>
      <c r="N12" s="81">
        <f>ABS('Cash Flow'!N30+'Cash Flow'!N33-'Cash Flow'!N34)&lt;0.01</f>
        <v/>
      </c>
      <c r="O12" s="81">
        <f>ABS('Cash Flow'!O30+'Cash Flow'!O33-'Cash Flow'!O34)&lt;0.01</f>
        <v/>
      </c>
      <c r="P12" s="81">
        <f>ABS('Cash Flow'!P30+'Cash Flow'!P33-'Cash Flow'!P34)&lt;0.01</f>
        <v/>
      </c>
      <c r="Q12" s="81">
        <f>ABS('Cash Flow'!Q30+'Cash Flow'!Q33-'Cash Flow'!Q34)&lt;0.01</f>
        <v/>
      </c>
      <c r="R12" s="81">
        <f>ABS('Cash Flow'!R30+'Cash Flow'!R33-'Cash Flow'!R34)&lt;0.01</f>
        <v/>
      </c>
      <c r="S12" s="81">
        <f>ABS('Cash Flow'!S30+'Cash Flow'!S33-'Cash Flow'!S34)&lt;0.01</f>
        <v/>
      </c>
      <c r="T12" s="81">
        <f>ABS('Cash Flow'!T30+'Cash Flow'!T33-'Cash Flow'!T34)&lt;0.01</f>
        <v/>
      </c>
      <c r="U12" s="81">
        <f>ABS('Cash Flow'!U30+'Cash Flow'!U33-'Cash Flow'!U34)&lt;0.01</f>
        <v/>
      </c>
      <c r="V12" s="81">
        <f>ABS('Cash Flow'!V30+'Cash Flow'!V33-'Cash Flow'!V34)&lt;0.01</f>
        <v/>
      </c>
      <c r="W12" s="81">
        <f>ABS('Cash Flow'!W30+'Cash Flow'!W33-'Cash Flow'!W34)&lt;0.01</f>
        <v/>
      </c>
      <c r="X12" s="81">
        <f>ABS('Cash Flow'!X30+'Cash Flow'!X33-'Cash Flow'!X34)&lt;0.01</f>
        <v/>
      </c>
      <c r="Y12" s="81">
        <f>ABS('Cash Flow'!Y30+'Cash Flow'!Y33-'Cash Flow'!Y34)&lt;0.01</f>
        <v/>
      </c>
      <c r="Z12" s="81">
        <f>ABS('Cash Flow'!Z30+'Cash Flow'!Z33-'Cash Flow'!Z34)&lt;0.01</f>
        <v/>
      </c>
      <c r="AA12" s="81">
        <f>ABS('Cash Flow'!AA30+'Cash Flow'!AA33-'Cash Flow'!AA34)&lt;0.01</f>
        <v/>
      </c>
      <c r="AB12" s="81">
        <f>ABS('Cash Flow'!AB30+'Cash Flow'!AB33-'Cash Flow'!AB34)&lt;0.01</f>
        <v/>
      </c>
      <c r="AC12" s="81">
        <f>ABS('Cash Flow'!AC30+'Cash Flow'!AC33-'Cash Flow'!AC34)&lt;0.01</f>
        <v/>
      </c>
      <c r="AD12" s="81">
        <f>ABS('Cash Flow'!AD30+'Cash Flow'!AD33-'Cash Flow'!AD34)&lt;0.01</f>
        <v/>
      </c>
      <c r="AE12" s="81">
        <f>ABS('Cash Flow'!AE30+'Cash Flow'!AE33-'Cash Flow'!AE34)&lt;0.01</f>
        <v/>
      </c>
      <c r="AF12" s="81">
        <f>ABS('Cash Flow'!AF30+'Cash Flow'!AF33-'Cash Flow'!AF34)&lt;0.01</f>
        <v/>
      </c>
      <c r="AG12" s="81">
        <f>ABS('Cash Flow'!AG30+'Cash Flow'!AG33-'Cash Flow'!AG34)&lt;0.01</f>
        <v/>
      </c>
      <c r="AH12" s="81">
        <f>ABS('Cash Flow'!AH30+'Cash Flow'!AH33-'Cash Flow'!AH34)&lt;0.01</f>
        <v/>
      </c>
      <c r="AI12" s="81">
        <f>ABS('Cash Flow'!AI30+'Cash Flow'!AI33-'Cash Flow'!AI34)&lt;0.01</f>
        <v/>
      </c>
      <c r="AJ12" s="81">
        <f>ABS('Cash Flow'!AJ30+'Cash Flow'!AJ33-'Cash Flow'!AJ34)&lt;0.01</f>
        <v/>
      </c>
      <c r="AK12" s="81">
        <f>ABS('Cash Flow'!AK30+'Cash Flow'!AK33-'Cash Flow'!AK34)&lt;0.01</f>
        <v/>
      </c>
      <c r="AL12" s="81">
        <f>ABS('Cash Flow'!AL30+'Cash Flow'!AL33-'Cash Flow'!AL34)&lt;0.01</f>
        <v/>
      </c>
      <c r="AM12" s="81">
        <f>ABS('Cash Flow'!AM30+'Cash Flow'!AM33-'Cash Flow'!AM34)&lt;0.01</f>
        <v/>
      </c>
      <c r="AN12" s="81">
        <f>ABS('Cash Flow'!AN30+'Cash Flow'!AN33-'Cash Flow'!AN34)&lt;0.01</f>
        <v/>
      </c>
      <c r="AO12" s="81">
        <f>ABS('Cash Flow'!AO30+'Cash Flow'!AO33-'Cash Flow'!AO34)&lt;0.01</f>
        <v/>
      </c>
      <c r="AP12" s="81">
        <f>ABS('Cash Flow'!AP30+'Cash Flow'!AP33-'Cash Flow'!AP34)&lt;0.01</f>
        <v/>
      </c>
      <c r="AQ12" s="81">
        <f>ABS('Cash Flow'!AQ30+'Cash Flow'!AQ33-'Cash Flow'!AQ34)&lt;0.01</f>
        <v/>
      </c>
      <c r="AR12" s="81">
        <f>ABS('Cash Flow'!AR30+'Cash Flow'!AR33-'Cash Flow'!AR34)&lt;0.01</f>
        <v/>
      </c>
      <c r="AS12" s="81">
        <f>ABS('Cash Flow'!AS30+'Cash Flow'!AS33-'Cash Flow'!AS34)&lt;0.01</f>
        <v/>
      </c>
      <c r="AT12" s="81">
        <f>ABS('Cash Flow'!AT30+'Cash Flow'!AT33-'Cash Flow'!AT34)&lt;0.01</f>
        <v/>
      </c>
      <c r="AU12" s="81">
        <f>ABS('Cash Flow'!AU30+'Cash Flow'!AU33-'Cash Flow'!AU34)&lt;0.01</f>
        <v/>
      </c>
      <c r="AV12" s="81">
        <f>ABS('Cash Flow'!AV30+'Cash Flow'!AV33-'Cash Flow'!AV34)&lt;0.01</f>
        <v/>
      </c>
      <c r="AW12" s="81">
        <f>ABS('Cash Flow'!AW30+'Cash Flow'!AW33-'Cash Flow'!AW34)&lt;0.01</f>
        <v/>
      </c>
      <c r="AX12" s="81">
        <f>ABS('Cash Flow'!AX30+'Cash Flow'!AX33-'Cash Flow'!AX34)&lt;0.01</f>
        <v/>
      </c>
      <c r="AY12" s="81">
        <f>ABS('Cash Flow'!AY30+'Cash Flow'!AY33-'Cash Flow'!AY34)&lt;0.01</f>
        <v/>
      </c>
      <c r="AZ12" s="81">
        <f>ABS('Cash Flow'!AZ30+'Cash Flow'!AZ33-'Cash Flow'!AZ34)&lt;0.01</f>
        <v/>
      </c>
      <c r="BA12" s="81">
        <f>ABS('Cash Flow'!BA30+'Cash Flow'!BA33-'Cash Flow'!BA34)&lt;0.01</f>
        <v/>
      </c>
      <c r="BB12" s="81">
        <f>ABS('Cash Flow'!BB30+'Cash Flow'!BB33-'Cash Flow'!BB34)&lt;0.01</f>
        <v/>
      </c>
      <c r="BC12" s="81">
        <f>ABS('Cash Flow'!BC30+'Cash Flow'!BC33-'Cash Flow'!BC34)&lt;0.01</f>
        <v/>
      </c>
      <c r="BD12" s="81">
        <f>ABS('Cash Flow'!BD30+'Cash Flow'!BD33-'Cash Flow'!BD34)&lt;0.01</f>
        <v/>
      </c>
      <c r="BE12" s="81">
        <f>ABS('Cash Flow'!BE30+'Cash Flow'!BE33-'Cash Flow'!BE34)&lt;0.01</f>
        <v/>
      </c>
      <c r="BF12" s="81">
        <f>ABS('Cash Flow'!BF30+'Cash Flow'!BF33-'Cash Flow'!BF34)&lt;0.01</f>
        <v/>
      </c>
      <c r="BG12" s="81">
        <f>ABS('Cash Flow'!BG30+'Cash Flow'!BG33-'Cash Flow'!BG34)&lt;0.01</f>
        <v/>
      </c>
      <c r="BH12" s="81">
        <f>ABS('Cash Flow'!BH30+'Cash Flow'!BH33-'Cash Flow'!BH34)&lt;0.01</f>
        <v/>
      </c>
      <c r="BI12" s="81">
        <f>ABS('Cash Flow'!BI30+'Cash Flow'!BI33-'Cash Flow'!BI34)&lt;0.01</f>
        <v/>
      </c>
      <c r="BJ12" s="81">
        <f>ABS('Cash Flow'!BJ30+'Cash Flow'!BJ33-'Cash Flow'!BJ34)&lt;0.01</f>
        <v/>
      </c>
      <c r="BK12" s="81">
        <f>ABS('Cash Flow'!BK30+'Cash Flow'!BK33-'Cash Flow'!BK34)&lt;0.01</f>
        <v/>
      </c>
      <c r="BM12" s="82">
        <f>IF(COUNTIF(D12:BK12,FALSE)=0,"OK","FAIL")</f>
        <v/>
      </c>
    </row>
    <row r="13">
      <c r="B13" s="18" t="inlineStr">
        <is>
          <t xml:space="preserve">    Opening cash of one month equals closing cash of the last</t>
        </is>
      </c>
      <c r="C13" s="19" t="n"/>
      <c r="D13" s="81">
        <f>TRUE</f>
        <v/>
      </c>
      <c r="E13" s="81">
        <f>ABS('Cash Flow'!E30-'Cash Flow'!D34)&lt;0.01</f>
        <v/>
      </c>
      <c r="F13" s="81">
        <f>ABS('Cash Flow'!F30-'Cash Flow'!E34)&lt;0.01</f>
        <v/>
      </c>
      <c r="G13" s="81">
        <f>ABS('Cash Flow'!G30-'Cash Flow'!F34)&lt;0.01</f>
        <v/>
      </c>
      <c r="H13" s="81">
        <f>ABS('Cash Flow'!H30-'Cash Flow'!G34)&lt;0.01</f>
        <v/>
      </c>
      <c r="I13" s="81">
        <f>ABS('Cash Flow'!I30-'Cash Flow'!H34)&lt;0.01</f>
        <v/>
      </c>
      <c r="J13" s="81">
        <f>ABS('Cash Flow'!J30-'Cash Flow'!I34)&lt;0.01</f>
        <v/>
      </c>
      <c r="K13" s="81">
        <f>ABS('Cash Flow'!K30-'Cash Flow'!J34)&lt;0.01</f>
        <v/>
      </c>
      <c r="L13" s="81">
        <f>ABS('Cash Flow'!L30-'Cash Flow'!K34)&lt;0.01</f>
        <v/>
      </c>
      <c r="M13" s="81">
        <f>ABS('Cash Flow'!M30-'Cash Flow'!L34)&lt;0.01</f>
        <v/>
      </c>
      <c r="N13" s="81">
        <f>ABS('Cash Flow'!N30-'Cash Flow'!M34)&lt;0.01</f>
        <v/>
      </c>
      <c r="O13" s="81">
        <f>ABS('Cash Flow'!O30-'Cash Flow'!N34)&lt;0.01</f>
        <v/>
      </c>
      <c r="P13" s="81">
        <f>ABS('Cash Flow'!P30-'Cash Flow'!O34)&lt;0.01</f>
        <v/>
      </c>
      <c r="Q13" s="81">
        <f>ABS('Cash Flow'!Q30-'Cash Flow'!P34)&lt;0.01</f>
        <v/>
      </c>
      <c r="R13" s="81">
        <f>ABS('Cash Flow'!R30-'Cash Flow'!Q34)&lt;0.01</f>
        <v/>
      </c>
      <c r="S13" s="81">
        <f>ABS('Cash Flow'!S30-'Cash Flow'!R34)&lt;0.01</f>
        <v/>
      </c>
      <c r="T13" s="81">
        <f>ABS('Cash Flow'!T30-'Cash Flow'!S34)&lt;0.01</f>
        <v/>
      </c>
      <c r="U13" s="81">
        <f>ABS('Cash Flow'!U30-'Cash Flow'!T34)&lt;0.01</f>
        <v/>
      </c>
      <c r="V13" s="81">
        <f>ABS('Cash Flow'!V30-'Cash Flow'!U34)&lt;0.01</f>
        <v/>
      </c>
      <c r="W13" s="81">
        <f>ABS('Cash Flow'!W30-'Cash Flow'!V34)&lt;0.01</f>
        <v/>
      </c>
      <c r="X13" s="81">
        <f>ABS('Cash Flow'!X30-'Cash Flow'!W34)&lt;0.01</f>
        <v/>
      </c>
      <c r="Y13" s="81">
        <f>ABS('Cash Flow'!Y30-'Cash Flow'!X34)&lt;0.01</f>
        <v/>
      </c>
      <c r="Z13" s="81">
        <f>ABS('Cash Flow'!Z30-'Cash Flow'!Y34)&lt;0.01</f>
        <v/>
      </c>
      <c r="AA13" s="81">
        <f>ABS('Cash Flow'!AA30-'Cash Flow'!Z34)&lt;0.01</f>
        <v/>
      </c>
      <c r="AB13" s="81">
        <f>ABS('Cash Flow'!AB30-'Cash Flow'!AA34)&lt;0.01</f>
        <v/>
      </c>
      <c r="AC13" s="81">
        <f>ABS('Cash Flow'!AC30-'Cash Flow'!AB34)&lt;0.01</f>
        <v/>
      </c>
      <c r="AD13" s="81">
        <f>ABS('Cash Flow'!AD30-'Cash Flow'!AC34)&lt;0.01</f>
        <v/>
      </c>
      <c r="AE13" s="81">
        <f>ABS('Cash Flow'!AE30-'Cash Flow'!AD34)&lt;0.01</f>
        <v/>
      </c>
      <c r="AF13" s="81">
        <f>ABS('Cash Flow'!AF30-'Cash Flow'!AE34)&lt;0.01</f>
        <v/>
      </c>
      <c r="AG13" s="81">
        <f>ABS('Cash Flow'!AG30-'Cash Flow'!AF34)&lt;0.01</f>
        <v/>
      </c>
      <c r="AH13" s="81">
        <f>ABS('Cash Flow'!AH30-'Cash Flow'!AG34)&lt;0.01</f>
        <v/>
      </c>
      <c r="AI13" s="81">
        <f>ABS('Cash Flow'!AI30-'Cash Flow'!AH34)&lt;0.01</f>
        <v/>
      </c>
      <c r="AJ13" s="81">
        <f>ABS('Cash Flow'!AJ30-'Cash Flow'!AI34)&lt;0.01</f>
        <v/>
      </c>
      <c r="AK13" s="81">
        <f>ABS('Cash Flow'!AK30-'Cash Flow'!AJ34)&lt;0.01</f>
        <v/>
      </c>
      <c r="AL13" s="81">
        <f>ABS('Cash Flow'!AL30-'Cash Flow'!AK34)&lt;0.01</f>
        <v/>
      </c>
      <c r="AM13" s="81">
        <f>ABS('Cash Flow'!AM30-'Cash Flow'!AL34)&lt;0.01</f>
        <v/>
      </c>
      <c r="AN13" s="81">
        <f>ABS('Cash Flow'!AN30-'Cash Flow'!AM34)&lt;0.01</f>
        <v/>
      </c>
      <c r="AO13" s="81">
        <f>ABS('Cash Flow'!AO30-'Cash Flow'!AN34)&lt;0.01</f>
        <v/>
      </c>
      <c r="AP13" s="81">
        <f>ABS('Cash Flow'!AP30-'Cash Flow'!AO34)&lt;0.01</f>
        <v/>
      </c>
      <c r="AQ13" s="81">
        <f>ABS('Cash Flow'!AQ30-'Cash Flow'!AP34)&lt;0.01</f>
        <v/>
      </c>
      <c r="AR13" s="81">
        <f>ABS('Cash Flow'!AR30-'Cash Flow'!AQ34)&lt;0.01</f>
        <v/>
      </c>
      <c r="AS13" s="81">
        <f>ABS('Cash Flow'!AS30-'Cash Flow'!AR34)&lt;0.01</f>
        <v/>
      </c>
      <c r="AT13" s="81">
        <f>ABS('Cash Flow'!AT30-'Cash Flow'!AS34)&lt;0.01</f>
        <v/>
      </c>
      <c r="AU13" s="81">
        <f>ABS('Cash Flow'!AU30-'Cash Flow'!AT34)&lt;0.01</f>
        <v/>
      </c>
      <c r="AV13" s="81">
        <f>ABS('Cash Flow'!AV30-'Cash Flow'!AU34)&lt;0.01</f>
        <v/>
      </c>
      <c r="AW13" s="81">
        <f>ABS('Cash Flow'!AW30-'Cash Flow'!AV34)&lt;0.01</f>
        <v/>
      </c>
      <c r="AX13" s="81">
        <f>ABS('Cash Flow'!AX30-'Cash Flow'!AW34)&lt;0.01</f>
        <v/>
      </c>
      <c r="AY13" s="81">
        <f>ABS('Cash Flow'!AY30-'Cash Flow'!AX34)&lt;0.01</f>
        <v/>
      </c>
      <c r="AZ13" s="81">
        <f>ABS('Cash Flow'!AZ30-'Cash Flow'!AY34)&lt;0.01</f>
        <v/>
      </c>
      <c r="BA13" s="81">
        <f>ABS('Cash Flow'!BA30-'Cash Flow'!AZ34)&lt;0.01</f>
        <v/>
      </c>
      <c r="BB13" s="81">
        <f>ABS('Cash Flow'!BB30-'Cash Flow'!BA34)&lt;0.01</f>
        <v/>
      </c>
      <c r="BC13" s="81">
        <f>ABS('Cash Flow'!BC30-'Cash Flow'!BB34)&lt;0.01</f>
        <v/>
      </c>
      <c r="BD13" s="81">
        <f>ABS('Cash Flow'!BD30-'Cash Flow'!BC34)&lt;0.01</f>
        <v/>
      </c>
      <c r="BE13" s="81">
        <f>ABS('Cash Flow'!BE30-'Cash Flow'!BD34)&lt;0.01</f>
        <v/>
      </c>
      <c r="BF13" s="81">
        <f>ABS('Cash Flow'!BF30-'Cash Flow'!BE34)&lt;0.01</f>
        <v/>
      </c>
      <c r="BG13" s="81">
        <f>ABS('Cash Flow'!BG30-'Cash Flow'!BF34)&lt;0.01</f>
        <v/>
      </c>
      <c r="BH13" s="81">
        <f>ABS('Cash Flow'!BH30-'Cash Flow'!BG34)&lt;0.01</f>
        <v/>
      </c>
      <c r="BI13" s="81">
        <f>ABS('Cash Flow'!BI30-'Cash Flow'!BH34)&lt;0.01</f>
        <v/>
      </c>
      <c r="BJ13" s="81">
        <f>ABS('Cash Flow'!BJ30-'Cash Flow'!BI34)&lt;0.01</f>
        <v/>
      </c>
      <c r="BK13" s="81">
        <f>ABS('Cash Flow'!BK30-'Cash Flow'!BJ34)&lt;0.01</f>
        <v/>
      </c>
      <c r="BM13" s="82">
        <f>IF(COUNTIF(D13:BK13,FALSE)=0,"OK","FAIL")</f>
        <v/>
      </c>
    </row>
    <row r="14">
      <c r="B14" s="18" t="inlineStr">
        <is>
          <t xml:space="preserve">    Deferred revenue rolls without a gap</t>
        </is>
      </c>
      <c r="C14" s="19" t="n"/>
      <c r="D14" s="81">
        <f>TRUE</f>
        <v/>
      </c>
      <c r="E14" s="81">
        <f>ABS('Cash Flow'!D11+'Cash Flow'!E12-'Cash Flow'!E11)&lt;0.01</f>
        <v/>
      </c>
      <c r="F14" s="81">
        <f>ABS('Cash Flow'!E11+'Cash Flow'!F12-'Cash Flow'!F11)&lt;0.01</f>
        <v/>
      </c>
      <c r="G14" s="81">
        <f>ABS('Cash Flow'!F11+'Cash Flow'!G12-'Cash Flow'!G11)&lt;0.01</f>
        <v/>
      </c>
      <c r="H14" s="81">
        <f>ABS('Cash Flow'!G11+'Cash Flow'!H12-'Cash Flow'!H11)&lt;0.01</f>
        <v/>
      </c>
      <c r="I14" s="81">
        <f>ABS('Cash Flow'!H11+'Cash Flow'!I12-'Cash Flow'!I11)&lt;0.01</f>
        <v/>
      </c>
      <c r="J14" s="81">
        <f>ABS('Cash Flow'!I11+'Cash Flow'!J12-'Cash Flow'!J11)&lt;0.01</f>
        <v/>
      </c>
      <c r="K14" s="81">
        <f>ABS('Cash Flow'!J11+'Cash Flow'!K12-'Cash Flow'!K11)&lt;0.01</f>
        <v/>
      </c>
      <c r="L14" s="81">
        <f>ABS('Cash Flow'!K11+'Cash Flow'!L12-'Cash Flow'!L11)&lt;0.01</f>
        <v/>
      </c>
      <c r="M14" s="81">
        <f>ABS('Cash Flow'!L11+'Cash Flow'!M12-'Cash Flow'!M11)&lt;0.01</f>
        <v/>
      </c>
      <c r="N14" s="81">
        <f>ABS('Cash Flow'!M11+'Cash Flow'!N12-'Cash Flow'!N11)&lt;0.01</f>
        <v/>
      </c>
      <c r="O14" s="81">
        <f>ABS('Cash Flow'!N11+'Cash Flow'!O12-'Cash Flow'!O11)&lt;0.01</f>
        <v/>
      </c>
      <c r="P14" s="81">
        <f>ABS('Cash Flow'!O11+'Cash Flow'!P12-'Cash Flow'!P11)&lt;0.01</f>
        <v/>
      </c>
      <c r="Q14" s="81">
        <f>ABS('Cash Flow'!P11+'Cash Flow'!Q12-'Cash Flow'!Q11)&lt;0.01</f>
        <v/>
      </c>
      <c r="R14" s="81">
        <f>ABS('Cash Flow'!Q11+'Cash Flow'!R12-'Cash Flow'!R11)&lt;0.01</f>
        <v/>
      </c>
      <c r="S14" s="81">
        <f>ABS('Cash Flow'!R11+'Cash Flow'!S12-'Cash Flow'!S11)&lt;0.01</f>
        <v/>
      </c>
      <c r="T14" s="81">
        <f>ABS('Cash Flow'!S11+'Cash Flow'!T12-'Cash Flow'!T11)&lt;0.01</f>
        <v/>
      </c>
      <c r="U14" s="81">
        <f>ABS('Cash Flow'!T11+'Cash Flow'!U12-'Cash Flow'!U11)&lt;0.01</f>
        <v/>
      </c>
      <c r="V14" s="81">
        <f>ABS('Cash Flow'!U11+'Cash Flow'!V12-'Cash Flow'!V11)&lt;0.01</f>
        <v/>
      </c>
      <c r="W14" s="81">
        <f>ABS('Cash Flow'!V11+'Cash Flow'!W12-'Cash Flow'!W11)&lt;0.01</f>
        <v/>
      </c>
      <c r="X14" s="81">
        <f>ABS('Cash Flow'!W11+'Cash Flow'!X12-'Cash Flow'!X11)&lt;0.01</f>
        <v/>
      </c>
      <c r="Y14" s="81">
        <f>ABS('Cash Flow'!X11+'Cash Flow'!Y12-'Cash Flow'!Y11)&lt;0.01</f>
        <v/>
      </c>
      <c r="Z14" s="81">
        <f>ABS('Cash Flow'!Y11+'Cash Flow'!Z12-'Cash Flow'!Z11)&lt;0.01</f>
        <v/>
      </c>
      <c r="AA14" s="81">
        <f>ABS('Cash Flow'!Z11+'Cash Flow'!AA12-'Cash Flow'!AA11)&lt;0.01</f>
        <v/>
      </c>
      <c r="AB14" s="81">
        <f>ABS('Cash Flow'!AA11+'Cash Flow'!AB12-'Cash Flow'!AB11)&lt;0.01</f>
        <v/>
      </c>
      <c r="AC14" s="81">
        <f>ABS('Cash Flow'!AB11+'Cash Flow'!AC12-'Cash Flow'!AC11)&lt;0.01</f>
        <v/>
      </c>
      <c r="AD14" s="81">
        <f>ABS('Cash Flow'!AC11+'Cash Flow'!AD12-'Cash Flow'!AD11)&lt;0.01</f>
        <v/>
      </c>
      <c r="AE14" s="81">
        <f>ABS('Cash Flow'!AD11+'Cash Flow'!AE12-'Cash Flow'!AE11)&lt;0.01</f>
        <v/>
      </c>
      <c r="AF14" s="81">
        <f>ABS('Cash Flow'!AE11+'Cash Flow'!AF12-'Cash Flow'!AF11)&lt;0.01</f>
        <v/>
      </c>
      <c r="AG14" s="81">
        <f>ABS('Cash Flow'!AF11+'Cash Flow'!AG12-'Cash Flow'!AG11)&lt;0.01</f>
        <v/>
      </c>
      <c r="AH14" s="81">
        <f>ABS('Cash Flow'!AG11+'Cash Flow'!AH12-'Cash Flow'!AH11)&lt;0.01</f>
        <v/>
      </c>
      <c r="AI14" s="81">
        <f>ABS('Cash Flow'!AH11+'Cash Flow'!AI12-'Cash Flow'!AI11)&lt;0.01</f>
        <v/>
      </c>
      <c r="AJ14" s="81">
        <f>ABS('Cash Flow'!AI11+'Cash Flow'!AJ12-'Cash Flow'!AJ11)&lt;0.01</f>
        <v/>
      </c>
      <c r="AK14" s="81">
        <f>ABS('Cash Flow'!AJ11+'Cash Flow'!AK12-'Cash Flow'!AK11)&lt;0.01</f>
        <v/>
      </c>
      <c r="AL14" s="81">
        <f>ABS('Cash Flow'!AK11+'Cash Flow'!AL12-'Cash Flow'!AL11)&lt;0.01</f>
        <v/>
      </c>
      <c r="AM14" s="81">
        <f>ABS('Cash Flow'!AL11+'Cash Flow'!AM12-'Cash Flow'!AM11)&lt;0.01</f>
        <v/>
      </c>
      <c r="AN14" s="81">
        <f>ABS('Cash Flow'!AM11+'Cash Flow'!AN12-'Cash Flow'!AN11)&lt;0.01</f>
        <v/>
      </c>
      <c r="AO14" s="81">
        <f>ABS('Cash Flow'!AN11+'Cash Flow'!AO12-'Cash Flow'!AO11)&lt;0.01</f>
        <v/>
      </c>
      <c r="AP14" s="81">
        <f>ABS('Cash Flow'!AO11+'Cash Flow'!AP12-'Cash Flow'!AP11)&lt;0.01</f>
        <v/>
      </c>
      <c r="AQ14" s="81">
        <f>ABS('Cash Flow'!AP11+'Cash Flow'!AQ12-'Cash Flow'!AQ11)&lt;0.01</f>
        <v/>
      </c>
      <c r="AR14" s="81">
        <f>ABS('Cash Flow'!AQ11+'Cash Flow'!AR12-'Cash Flow'!AR11)&lt;0.01</f>
        <v/>
      </c>
      <c r="AS14" s="81">
        <f>ABS('Cash Flow'!AR11+'Cash Flow'!AS12-'Cash Flow'!AS11)&lt;0.01</f>
        <v/>
      </c>
      <c r="AT14" s="81">
        <f>ABS('Cash Flow'!AS11+'Cash Flow'!AT12-'Cash Flow'!AT11)&lt;0.01</f>
        <v/>
      </c>
      <c r="AU14" s="81">
        <f>ABS('Cash Flow'!AT11+'Cash Flow'!AU12-'Cash Flow'!AU11)&lt;0.01</f>
        <v/>
      </c>
      <c r="AV14" s="81">
        <f>ABS('Cash Flow'!AU11+'Cash Flow'!AV12-'Cash Flow'!AV11)&lt;0.01</f>
        <v/>
      </c>
      <c r="AW14" s="81">
        <f>ABS('Cash Flow'!AV11+'Cash Flow'!AW12-'Cash Flow'!AW11)&lt;0.01</f>
        <v/>
      </c>
      <c r="AX14" s="81">
        <f>ABS('Cash Flow'!AW11+'Cash Flow'!AX12-'Cash Flow'!AX11)&lt;0.01</f>
        <v/>
      </c>
      <c r="AY14" s="81">
        <f>ABS('Cash Flow'!AX11+'Cash Flow'!AY12-'Cash Flow'!AY11)&lt;0.01</f>
        <v/>
      </c>
      <c r="AZ14" s="81">
        <f>ABS('Cash Flow'!AY11+'Cash Flow'!AZ12-'Cash Flow'!AZ11)&lt;0.01</f>
        <v/>
      </c>
      <c r="BA14" s="81">
        <f>ABS('Cash Flow'!AZ11+'Cash Flow'!BA12-'Cash Flow'!BA11)&lt;0.01</f>
        <v/>
      </c>
      <c r="BB14" s="81">
        <f>ABS('Cash Flow'!BA11+'Cash Flow'!BB12-'Cash Flow'!BB11)&lt;0.01</f>
        <v/>
      </c>
      <c r="BC14" s="81">
        <f>ABS('Cash Flow'!BB11+'Cash Flow'!BC12-'Cash Flow'!BC11)&lt;0.01</f>
        <v/>
      </c>
      <c r="BD14" s="81">
        <f>ABS('Cash Flow'!BC11+'Cash Flow'!BD12-'Cash Flow'!BD11)&lt;0.01</f>
        <v/>
      </c>
      <c r="BE14" s="81">
        <f>ABS('Cash Flow'!BD11+'Cash Flow'!BE12-'Cash Flow'!BE11)&lt;0.01</f>
        <v/>
      </c>
      <c r="BF14" s="81">
        <f>ABS('Cash Flow'!BE11+'Cash Flow'!BF12-'Cash Flow'!BF11)&lt;0.01</f>
        <v/>
      </c>
      <c r="BG14" s="81">
        <f>ABS('Cash Flow'!BF11+'Cash Flow'!BG12-'Cash Flow'!BG11)&lt;0.01</f>
        <v/>
      </c>
      <c r="BH14" s="81">
        <f>ABS('Cash Flow'!BG11+'Cash Flow'!BH12-'Cash Flow'!BH11)&lt;0.01</f>
        <v/>
      </c>
      <c r="BI14" s="81">
        <f>ABS('Cash Flow'!BH11+'Cash Flow'!BI12-'Cash Flow'!BI11)&lt;0.01</f>
        <v/>
      </c>
      <c r="BJ14" s="81">
        <f>ABS('Cash Flow'!BI11+'Cash Flow'!BJ12-'Cash Flow'!BJ11)&lt;0.01</f>
        <v/>
      </c>
      <c r="BK14" s="81">
        <f>ABS('Cash Flow'!BJ11+'Cash Flow'!BK12-'Cash Flow'!BK11)&lt;0.01</f>
        <v/>
      </c>
      <c r="BM14" s="82">
        <f>IF(COUNTIF(D14:BK14,FALSE)=0,"OK","FAIL")</f>
        <v/>
      </c>
    </row>
    <row r="15">
      <c r="B15" s="18" t="inlineStr">
        <is>
          <t xml:space="preserve">    Gross profit equals revenue less cost of revenue</t>
        </is>
      </c>
      <c r="C15" s="19" t="n"/>
      <c r="D15" s="81">
        <f>ABS('P&amp;L'!D13-'P&amp;L'!D23-'P&amp;L'!D24)&lt;0.01</f>
        <v/>
      </c>
      <c r="E15" s="81">
        <f>ABS('P&amp;L'!E13-'P&amp;L'!E23-'P&amp;L'!E24)&lt;0.01</f>
        <v/>
      </c>
      <c r="F15" s="81">
        <f>ABS('P&amp;L'!F13-'P&amp;L'!F23-'P&amp;L'!F24)&lt;0.01</f>
        <v/>
      </c>
      <c r="G15" s="81">
        <f>ABS('P&amp;L'!G13-'P&amp;L'!G23-'P&amp;L'!G24)&lt;0.01</f>
        <v/>
      </c>
      <c r="H15" s="81">
        <f>ABS('P&amp;L'!H13-'P&amp;L'!H23-'P&amp;L'!H24)&lt;0.01</f>
        <v/>
      </c>
      <c r="I15" s="81">
        <f>ABS('P&amp;L'!I13-'P&amp;L'!I23-'P&amp;L'!I24)&lt;0.01</f>
        <v/>
      </c>
      <c r="J15" s="81">
        <f>ABS('P&amp;L'!J13-'P&amp;L'!J23-'P&amp;L'!J24)&lt;0.01</f>
        <v/>
      </c>
      <c r="K15" s="81">
        <f>ABS('P&amp;L'!K13-'P&amp;L'!K23-'P&amp;L'!K24)&lt;0.01</f>
        <v/>
      </c>
      <c r="L15" s="81">
        <f>ABS('P&amp;L'!L13-'P&amp;L'!L23-'P&amp;L'!L24)&lt;0.01</f>
        <v/>
      </c>
      <c r="M15" s="81">
        <f>ABS('P&amp;L'!M13-'P&amp;L'!M23-'P&amp;L'!M24)&lt;0.01</f>
        <v/>
      </c>
      <c r="N15" s="81">
        <f>ABS('P&amp;L'!N13-'P&amp;L'!N23-'P&amp;L'!N24)&lt;0.01</f>
        <v/>
      </c>
      <c r="O15" s="81">
        <f>ABS('P&amp;L'!O13-'P&amp;L'!O23-'P&amp;L'!O24)&lt;0.01</f>
        <v/>
      </c>
      <c r="P15" s="81">
        <f>ABS('P&amp;L'!P13-'P&amp;L'!P23-'P&amp;L'!P24)&lt;0.01</f>
        <v/>
      </c>
      <c r="Q15" s="81">
        <f>ABS('P&amp;L'!Q13-'P&amp;L'!Q23-'P&amp;L'!Q24)&lt;0.01</f>
        <v/>
      </c>
      <c r="R15" s="81">
        <f>ABS('P&amp;L'!R13-'P&amp;L'!R23-'P&amp;L'!R24)&lt;0.01</f>
        <v/>
      </c>
      <c r="S15" s="81">
        <f>ABS('P&amp;L'!S13-'P&amp;L'!S23-'P&amp;L'!S24)&lt;0.01</f>
        <v/>
      </c>
      <c r="T15" s="81">
        <f>ABS('P&amp;L'!T13-'P&amp;L'!T23-'P&amp;L'!T24)&lt;0.01</f>
        <v/>
      </c>
      <c r="U15" s="81">
        <f>ABS('P&amp;L'!U13-'P&amp;L'!U23-'P&amp;L'!U24)&lt;0.01</f>
        <v/>
      </c>
      <c r="V15" s="81">
        <f>ABS('P&amp;L'!V13-'P&amp;L'!V23-'P&amp;L'!V24)&lt;0.01</f>
        <v/>
      </c>
      <c r="W15" s="81">
        <f>ABS('P&amp;L'!W13-'P&amp;L'!W23-'P&amp;L'!W24)&lt;0.01</f>
        <v/>
      </c>
      <c r="X15" s="81">
        <f>ABS('P&amp;L'!X13-'P&amp;L'!X23-'P&amp;L'!X24)&lt;0.01</f>
        <v/>
      </c>
      <c r="Y15" s="81">
        <f>ABS('P&amp;L'!Y13-'P&amp;L'!Y23-'P&amp;L'!Y24)&lt;0.01</f>
        <v/>
      </c>
      <c r="Z15" s="81">
        <f>ABS('P&amp;L'!Z13-'P&amp;L'!Z23-'P&amp;L'!Z24)&lt;0.01</f>
        <v/>
      </c>
      <c r="AA15" s="81">
        <f>ABS('P&amp;L'!AA13-'P&amp;L'!AA23-'P&amp;L'!AA24)&lt;0.01</f>
        <v/>
      </c>
      <c r="AB15" s="81">
        <f>ABS('P&amp;L'!AB13-'P&amp;L'!AB23-'P&amp;L'!AB24)&lt;0.01</f>
        <v/>
      </c>
      <c r="AC15" s="81">
        <f>ABS('P&amp;L'!AC13-'P&amp;L'!AC23-'P&amp;L'!AC24)&lt;0.01</f>
        <v/>
      </c>
      <c r="AD15" s="81">
        <f>ABS('P&amp;L'!AD13-'P&amp;L'!AD23-'P&amp;L'!AD24)&lt;0.01</f>
        <v/>
      </c>
      <c r="AE15" s="81">
        <f>ABS('P&amp;L'!AE13-'P&amp;L'!AE23-'P&amp;L'!AE24)&lt;0.01</f>
        <v/>
      </c>
      <c r="AF15" s="81">
        <f>ABS('P&amp;L'!AF13-'P&amp;L'!AF23-'P&amp;L'!AF24)&lt;0.01</f>
        <v/>
      </c>
      <c r="AG15" s="81">
        <f>ABS('P&amp;L'!AG13-'P&amp;L'!AG23-'P&amp;L'!AG24)&lt;0.01</f>
        <v/>
      </c>
      <c r="AH15" s="81">
        <f>ABS('P&amp;L'!AH13-'P&amp;L'!AH23-'P&amp;L'!AH24)&lt;0.01</f>
        <v/>
      </c>
      <c r="AI15" s="81">
        <f>ABS('P&amp;L'!AI13-'P&amp;L'!AI23-'P&amp;L'!AI24)&lt;0.01</f>
        <v/>
      </c>
      <c r="AJ15" s="81">
        <f>ABS('P&amp;L'!AJ13-'P&amp;L'!AJ23-'P&amp;L'!AJ24)&lt;0.01</f>
        <v/>
      </c>
      <c r="AK15" s="81">
        <f>ABS('P&amp;L'!AK13-'P&amp;L'!AK23-'P&amp;L'!AK24)&lt;0.01</f>
        <v/>
      </c>
      <c r="AL15" s="81">
        <f>ABS('P&amp;L'!AL13-'P&amp;L'!AL23-'P&amp;L'!AL24)&lt;0.01</f>
        <v/>
      </c>
      <c r="AM15" s="81">
        <f>ABS('P&amp;L'!AM13-'P&amp;L'!AM23-'P&amp;L'!AM24)&lt;0.01</f>
        <v/>
      </c>
      <c r="AN15" s="81">
        <f>ABS('P&amp;L'!AN13-'P&amp;L'!AN23-'P&amp;L'!AN24)&lt;0.01</f>
        <v/>
      </c>
      <c r="AO15" s="81">
        <f>ABS('P&amp;L'!AO13-'P&amp;L'!AO23-'P&amp;L'!AO24)&lt;0.01</f>
        <v/>
      </c>
      <c r="AP15" s="81">
        <f>ABS('P&amp;L'!AP13-'P&amp;L'!AP23-'P&amp;L'!AP24)&lt;0.01</f>
        <v/>
      </c>
      <c r="AQ15" s="81">
        <f>ABS('P&amp;L'!AQ13-'P&amp;L'!AQ23-'P&amp;L'!AQ24)&lt;0.01</f>
        <v/>
      </c>
      <c r="AR15" s="81">
        <f>ABS('P&amp;L'!AR13-'P&amp;L'!AR23-'P&amp;L'!AR24)&lt;0.01</f>
        <v/>
      </c>
      <c r="AS15" s="81">
        <f>ABS('P&amp;L'!AS13-'P&amp;L'!AS23-'P&amp;L'!AS24)&lt;0.01</f>
        <v/>
      </c>
      <c r="AT15" s="81">
        <f>ABS('P&amp;L'!AT13-'P&amp;L'!AT23-'P&amp;L'!AT24)&lt;0.01</f>
        <v/>
      </c>
      <c r="AU15" s="81">
        <f>ABS('P&amp;L'!AU13-'P&amp;L'!AU23-'P&amp;L'!AU24)&lt;0.01</f>
        <v/>
      </c>
      <c r="AV15" s="81">
        <f>ABS('P&amp;L'!AV13-'P&amp;L'!AV23-'P&amp;L'!AV24)&lt;0.01</f>
        <v/>
      </c>
      <c r="AW15" s="81">
        <f>ABS('P&amp;L'!AW13-'P&amp;L'!AW23-'P&amp;L'!AW24)&lt;0.01</f>
        <v/>
      </c>
      <c r="AX15" s="81">
        <f>ABS('P&amp;L'!AX13-'P&amp;L'!AX23-'P&amp;L'!AX24)&lt;0.01</f>
        <v/>
      </c>
      <c r="AY15" s="81">
        <f>ABS('P&amp;L'!AY13-'P&amp;L'!AY23-'P&amp;L'!AY24)&lt;0.01</f>
        <v/>
      </c>
      <c r="AZ15" s="81">
        <f>ABS('P&amp;L'!AZ13-'P&amp;L'!AZ23-'P&amp;L'!AZ24)&lt;0.01</f>
        <v/>
      </c>
      <c r="BA15" s="81">
        <f>ABS('P&amp;L'!BA13-'P&amp;L'!BA23-'P&amp;L'!BA24)&lt;0.01</f>
        <v/>
      </c>
      <c r="BB15" s="81">
        <f>ABS('P&amp;L'!BB13-'P&amp;L'!BB23-'P&amp;L'!BB24)&lt;0.01</f>
        <v/>
      </c>
      <c r="BC15" s="81">
        <f>ABS('P&amp;L'!BC13-'P&amp;L'!BC23-'P&amp;L'!BC24)&lt;0.01</f>
        <v/>
      </c>
      <c r="BD15" s="81">
        <f>ABS('P&amp;L'!BD13-'P&amp;L'!BD23-'P&amp;L'!BD24)&lt;0.01</f>
        <v/>
      </c>
      <c r="BE15" s="81">
        <f>ABS('P&amp;L'!BE13-'P&amp;L'!BE23-'P&amp;L'!BE24)&lt;0.01</f>
        <v/>
      </c>
      <c r="BF15" s="81">
        <f>ABS('P&amp;L'!BF13-'P&amp;L'!BF23-'P&amp;L'!BF24)&lt;0.01</f>
        <v/>
      </c>
      <c r="BG15" s="81">
        <f>ABS('P&amp;L'!BG13-'P&amp;L'!BG23-'P&amp;L'!BG24)&lt;0.01</f>
        <v/>
      </c>
      <c r="BH15" s="81">
        <f>ABS('P&amp;L'!BH13-'P&amp;L'!BH23-'P&amp;L'!BH24)&lt;0.01</f>
        <v/>
      </c>
      <c r="BI15" s="81">
        <f>ABS('P&amp;L'!BI13-'P&amp;L'!BI23-'P&amp;L'!BI24)&lt;0.01</f>
        <v/>
      </c>
      <c r="BJ15" s="81">
        <f>ABS('P&amp;L'!BJ13-'P&amp;L'!BJ23-'P&amp;L'!BJ24)&lt;0.01</f>
        <v/>
      </c>
      <c r="BK15" s="81">
        <f>ABS('P&amp;L'!BK13-'P&amp;L'!BK23-'P&amp;L'!BK24)&lt;0.01</f>
        <v/>
      </c>
      <c r="BM15" s="82">
        <f>IF(COUNTIF(D15:BK15,FALSE)=0,"OK","FAIL")</f>
        <v/>
      </c>
    </row>
    <row r="16">
      <c r="B16" s="18" t="inlineStr">
        <is>
          <t xml:space="preserve">    EBITDA equals gross profit less operating expense, excluding stock compensation</t>
        </is>
      </c>
      <c r="C16" s="19" t="n"/>
      <c r="D16" s="81">
        <f>ABS('P&amp;L'!D24-'P&amp;L'!D40-'P&amp;L'!D43)&lt;0.01</f>
        <v/>
      </c>
      <c r="E16" s="81">
        <f>ABS('P&amp;L'!E24-'P&amp;L'!E40-'P&amp;L'!E43)&lt;0.01</f>
        <v/>
      </c>
      <c r="F16" s="81">
        <f>ABS('P&amp;L'!F24-'P&amp;L'!F40-'P&amp;L'!F43)&lt;0.01</f>
        <v/>
      </c>
      <c r="G16" s="81">
        <f>ABS('P&amp;L'!G24-'P&amp;L'!G40-'P&amp;L'!G43)&lt;0.01</f>
        <v/>
      </c>
      <c r="H16" s="81">
        <f>ABS('P&amp;L'!H24-'P&amp;L'!H40-'P&amp;L'!H43)&lt;0.01</f>
        <v/>
      </c>
      <c r="I16" s="81">
        <f>ABS('P&amp;L'!I24-'P&amp;L'!I40-'P&amp;L'!I43)&lt;0.01</f>
        <v/>
      </c>
      <c r="J16" s="81">
        <f>ABS('P&amp;L'!J24-'P&amp;L'!J40-'P&amp;L'!J43)&lt;0.01</f>
        <v/>
      </c>
      <c r="K16" s="81">
        <f>ABS('P&amp;L'!K24-'P&amp;L'!K40-'P&amp;L'!K43)&lt;0.01</f>
        <v/>
      </c>
      <c r="L16" s="81">
        <f>ABS('P&amp;L'!L24-'P&amp;L'!L40-'P&amp;L'!L43)&lt;0.01</f>
        <v/>
      </c>
      <c r="M16" s="81">
        <f>ABS('P&amp;L'!M24-'P&amp;L'!M40-'P&amp;L'!M43)&lt;0.01</f>
        <v/>
      </c>
      <c r="N16" s="81">
        <f>ABS('P&amp;L'!N24-'P&amp;L'!N40-'P&amp;L'!N43)&lt;0.01</f>
        <v/>
      </c>
      <c r="O16" s="81">
        <f>ABS('P&amp;L'!O24-'P&amp;L'!O40-'P&amp;L'!O43)&lt;0.01</f>
        <v/>
      </c>
      <c r="P16" s="81">
        <f>ABS('P&amp;L'!P24-'P&amp;L'!P40-'P&amp;L'!P43)&lt;0.01</f>
        <v/>
      </c>
      <c r="Q16" s="81">
        <f>ABS('P&amp;L'!Q24-'P&amp;L'!Q40-'P&amp;L'!Q43)&lt;0.01</f>
        <v/>
      </c>
      <c r="R16" s="81">
        <f>ABS('P&amp;L'!R24-'P&amp;L'!R40-'P&amp;L'!R43)&lt;0.01</f>
        <v/>
      </c>
      <c r="S16" s="81">
        <f>ABS('P&amp;L'!S24-'P&amp;L'!S40-'P&amp;L'!S43)&lt;0.01</f>
        <v/>
      </c>
      <c r="T16" s="81">
        <f>ABS('P&amp;L'!T24-'P&amp;L'!T40-'P&amp;L'!T43)&lt;0.01</f>
        <v/>
      </c>
      <c r="U16" s="81">
        <f>ABS('P&amp;L'!U24-'P&amp;L'!U40-'P&amp;L'!U43)&lt;0.01</f>
        <v/>
      </c>
      <c r="V16" s="81">
        <f>ABS('P&amp;L'!V24-'P&amp;L'!V40-'P&amp;L'!V43)&lt;0.01</f>
        <v/>
      </c>
      <c r="W16" s="81">
        <f>ABS('P&amp;L'!W24-'P&amp;L'!W40-'P&amp;L'!W43)&lt;0.01</f>
        <v/>
      </c>
      <c r="X16" s="81">
        <f>ABS('P&amp;L'!X24-'P&amp;L'!X40-'P&amp;L'!X43)&lt;0.01</f>
        <v/>
      </c>
      <c r="Y16" s="81">
        <f>ABS('P&amp;L'!Y24-'P&amp;L'!Y40-'P&amp;L'!Y43)&lt;0.01</f>
        <v/>
      </c>
      <c r="Z16" s="81">
        <f>ABS('P&amp;L'!Z24-'P&amp;L'!Z40-'P&amp;L'!Z43)&lt;0.01</f>
        <v/>
      </c>
      <c r="AA16" s="81">
        <f>ABS('P&amp;L'!AA24-'P&amp;L'!AA40-'P&amp;L'!AA43)&lt;0.01</f>
        <v/>
      </c>
      <c r="AB16" s="81">
        <f>ABS('P&amp;L'!AB24-'P&amp;L'!AB40-'P&amp;L'!AB43)&lt;0.01</f>
        <v/>
      </c>
      <c r="AC16" s="81">
        <f>ABS('P&amp;L'!AC24-'P&amp;L'!AC40-'P&amp;L'!AC43)&lt;0.01</f>
        <v/>
      </c>
      <c r="AD16" s="81">
        <f>ABS('P&amp;L'!AD24-'P&amp;L'!AD40-'P&amp;L'!AD43)&lt;0.01</f>
        <v/>
      </c>
      <c r="AE16" s="81">
        <f>ABS('P&amp;L'!AE24-'P&amp;L'!AE40-'P&amp;L'!AE43)&lt;0.01</f>
        <v/>
      </c>
      <c r="AF16" s="81">
        <f>ABS('P&amp;L'!AF24-'P&amp;L'!AF40-'P&amp;L'!AF43)&lt;0.01</f>
        <v/>
      </c>
      <c r="AG16" s="81">
        <f>ABS('P&amp;L'!AG24-'P&amp;L'!AG40-'P&amp;L'!AG43)&lt;0.01</f>
        <v/>
      </c>
      <c r="AH16" s="81">
        <f>ABS('P&amp;L'!AH24-'P&amp;L'!AH40-'P&amp;L'!AH43)&lt;0.01</f>
        <v/>
      </c>
      <c r="AI16" s="81">
        <f>ABS('P&amp;L'!AI24-'P&amp;L'!AI40-'P&amp;L'!AI43)&lt;0.01</f>
        <v/>
      </c>
      <c r="AJ16" s="81">
        <f>ABS('P&amp;L'!AJ24-'P&amp;L'!AJ40-'P&amp;L'!AJ43)&lt;0.01</f>
        <v/>
      </c>
      <c r="AK16" s="81">
        <f>ABS('P&amp;L'!AK24-'P&amp;L'!AK40-'P&amp;L'!AK43)&lt;0.01</f>
        <v/>
      </c>
      <c r="AL16" s="81">
        <f>ABS('P&amp;L'!AL24-'P&amp;L'!AL40-'P&amp;L'!AL43)&lt;0.01</f>
        <v/>
      </c>
      <c r="AM16" s="81">
        <f>ABS('P&amp;L'!AM24-'P&amp;L'!AM40-'P&amp;L'!AM43)&lt;0.01</f>
        <v/>
      </c>
      <c r="AN16" s="81">
        <f>ABS('P&amp;L'!AN24-'P&amp;L'!AN40-'P&amp;L'!AN43)&lt;0.01</f>
        <v/>
      </c>
      <c r="AO16" s="81">
        <f>ABS('P&amp;L'!AO24-'P&amp;L'!AO40-'P&amp;L'!AO43)&lt;0.01</f>
        <v/>
      </c>
      <c r="AP16" s="81">
        <f>ABS('P&amp;L'!AP24-'P&amp;L'!AP40-'P&amp;L'!AP43)&lt;0.01</f>
        <v/>
      </c>
      <c r="AQ16" s="81">
        <f>ABS('P&amp;L'!AQ24-'P&amp;L'!AQ40-'P&amp;L'!AQ43)&lt;0.01</f>
        <v/>
      </c>
      <c r="AR16" s="81">
        <f>ABS('P&amp;L'!AR24-'P&amp;L'!AR40-'P&amp;L'!AR43)&lt;0.01</f>
        <v/>
      </c>
      <c r="AS16" s="81">
        <f>ABS('P&amp;L'!AS24-'P&amp;L'!AS40-'P&amp;L'!AS43)&lt;0.01</f>
        <v/>
      </c>
      <c r="AT16" s="81">
        <f>ABS('P&amp;L'!AT24-'P&amp;L'!AT40-'P&amp;L'!AT43)&lt;0.01</f>
        <v/>
      </c>
      <c r="AU16" s="81">
        <f>ABS('P&amp;L'!AU24-'P&amp;L'!AU40-'P&amp;L'!AU43)&lt;0.01</f>
        <v/>
      </c>
      <c r="AV16" s="81">
        <f>ABS('P&amp;L'!AV24-'P&amp;L'!AV40-'P&amp;L'!AV43)&lt;0.01</f>
        <v/>
      </c>
      <c r="AW16" s="81">
        <f>ABS('P&amp;L'!AW24-'P&amp;L'!AW40-'P&amp;L'!AW43)&lt;0.01</f>
        <v/>
      </c>
      <c r="AX16" s="81">
        <f>ABS('P&amp;L'!AX24-'P&amp;L'!AX40-'P&amp;L'!AX43)&lt;0.01</f>
        <v/>
      </c>
      <c r="AY16" s="81">
        <f>ABS('P&amp;L'!AY24-'P&amp;L'!AY40-'P&amp;L'!AY43)&lt;0.01</f>
        <v/>
      </c>
      <c r="AZ16" s="81">
        <f>ABS('P&amp;L'!AZ24-'P&amp;L'!AZ40-'P&amp;L'!AZ43)&lt;0.01</f>
        <v/>
      </c>
      <c r="BA16" s="81">
        <f>ABS('P&amp;L'!BA24-'P&amp;L'!BA40-'P&amp;L'!BA43)&lt;0.01</f>
        <v/>
      </c>
      <c r="BB16" s="81">
        <f>ABS('P&amp;L'!BB24-'P&amp;L'!BB40-'P&amp;L'!BB43)&lt;0.01</f>
        <v/>
      </c>
      <c r="BC16" s="81">
        <f>ABS('P&amp;L'!BC24-'P&amp;L'!BC40-'P&amp;L'!BC43)&lt;0.01</f>
        <v/>
      </c>
      <c r="BD16" s="81">
        <f>ABS('P&amp;L'!BD24-'P&amp;L'!BD40-'P&amp;L'!BD43)&lt;0.01</f>
        <v/>
      </c>
      <c r="BE16" s="81">
        <f>ABS('P&amp;L'!BE24-'P&amp;L'!BE40-'P&amp;L'!BE43)&lt;0.01</f>
        <v/>
      </c>
      <c r="BF16" s="81">
        <f>ABS('P&amp;L'!BF24-'P&amp;L'!BF40-'P&amp;L'!BF43)&lt;0.01</f>
        <v/>
      </c>
      <c r="BG16" s="81">
        <f>ABS('P&amp;L'!BG24-'P&amp;L'!BG40-'P&amp;L'!BG43)&lt;0.01</f>
        <v/>
      </c>
      <c r="BH16" s="81">
        <f>ABS('P&amp;L'!BH24-'P&amp;L'!BH40-'P&amp;L'!BH43)&lt;0.01</f>
        <v/>
      </c>
      <c r="BI16" s="81">
        <f>ABS('P&amp;L'!BI24-'P&amp;L'!BI40-'P&amp;L'!BI43)&lt;0.01</f>
        <v/>
      </c>
      <c r="BJ16" s="81">
        <f>ABS('P&amp;L'!BJ24-'P&amp;L'!BJ40-'P&amp;L'!BJ43)&lt;0.01</f>
        <v/>
      </c>
      <c r="BK16" s="81">
        <f>ABS('P&amp;L'!BK24-'P&amp;L'!BK40-'P&amp;L'!BK43)&lt;0.01</f>
        <v/>
      </c>
      <c r="BM16" s="82">
        <f>IF(COUNTIF(D16:BK16,FALSE)=0,"OK","FAIL")</f>
        <v/>
      </c>
    </row>
    <row r="17">
      <c r="B17" s="18" t="inlineStr">
        <is>
          <t xml:space="preserve">    Stock compensation equals the stated share of revenue</t>
        </is>
      </c>
      <c r="C17" s="19" t="n"/>
      <c r="D17" s="81">
        <f>ABS('P&amp;L'!D13*Inputs!$D$143-'P&amp;L'!D44)&lt;0.01</f>
        <v/>
      </c>
      <c r="E17" s="81">
        <f>ABS('P&amp;L'!E13*Inputs!$D$143-'P&amp;L'!E44)&lt;0.01</f>
        <v/>
      </c>
      <c r="F17" s="81">
        <f>ABS('P&amp;L'!F13*Inputs!$D$143-'P&amp;L'!F44)&lt;0.01</f>
        <v/>
      </c>
      <c r="G17" s="81">
        <f>ABS('P&amp;L'!G13*Inputs!$D$143-'P&amp;L'!G44)&lt;0.01</f>
        <v/>
      </c>
      <c r="H17" s="81">
        <f>ABS('P&amp;L'!H13*Inputs!$D$143-'P&amp;L'!H44)&lt;0.01</f>
        <v/>
      </c>
      <c r="I17" s="81">
        <f>ABS('P&amp;L'!I13*Inputs!$D$143-'P&amp;L'!I44)&lt;0.01</f>
        <v/>
      </c>
      <c r="J17" s="81">
        <f>ABS('P&amp;L'!J13*Inputs!$D$143-'P&amp;L'!J44)&lt;0.01</f>
        <v/>
      </c>
      <c r="K17" s="81">
        <f>ABS('P&amp;L'!K13*Inputs!$D$143-'P&amp;L'!K44)&lt;0.01</f>
        <v/>
      </c>
      <c r="L17" s="81">
        <f>ABS('P&amp;L'!L13*Inputs!$D$143-'P&amp;L'!L44)&lt;0.01</f>
        <v/>
      </c>
      <c r="M17" s="81">
        <f>ABS('P&amp;L'!M13*Inputs!$D$143-'P&amp;L'!M44)&lt;0.01</f>
        <v/>
      </c>
      <c r="N17" s="81">
        <f>ABS('P&amp;L'!N13*Inputs!$D$143-'P&amp;L'!N44)&lt;0.01</f>
        <v/>
      </c>
      <c r="O17" s="81">
        <f>ABS('P&amp;L'!O13*Inputs!$D$143-'P&amp;L'!O44)&lt;0.01</f>
        <v/>
      </c>
      <c r="P17" s="81">
        <f>ABS('P&amp;L'!P13*Inputs!$D$143-'P&amp;L'!P44)&lt;0.01</f>
        <v/>
      </c>
      <c r="Q17" s="81">
        <f>ABS('P&amp;L'!Q13*Inputs!$D$143-'P&amp;L'!Q44)&lt;0.01</f>
        <v/>
      </c>
      <c r="R17" s="81">
        <f>ABS('P&amp;L'!R13*Inputs!$D$143-'P&amp;L'!R44)&lt;0.01</f>
        <v/>
      </c>
      <c r="S17" s="81">
        <f>ABS('P&amp;L'!S13*Inputs!$D$143-'P&amp;L'!S44)&lt;0.01</f>
        <v/>
      </c>
      <c r="T17" s="81">
        <f>ABS('P&amp;L'!T13*Inputs!$D$143-'P&amp;L'!T44)&lt;0.01</f>
        <v/>
      </c>
      <c r="U17" s="81">
        <f>ABS('P&amp;L'!U13*Inputs!$D$143-'P&amp;L'!U44)&lt;0.01</f>
        <v/>
      </c>
      <c r="V17" s="81">
        <f>ABS('P&amp;L'!V13*Inputs!$D$143-'P&amp;L'!V44)&lt;0.01</f>
        <v/>
      </c>
      <c r="W17" s="81">
        <f>ABS('P&amp;L'!W13*Inputs!$D$143-'P&amp;L'!W44)&lt;0.01</f>
        <v/>
      </c>
      <c r="X17" s="81">
        <f>ABS('P&amp;L'!X13*Inputs!$D$143-'P&amp;L'!X44)&lt;0.01</f>
        <v/>
      </c>
      <c r="Y17" s="81">
        <f>ABS('P&amp;L'!Y13*Inputs!$D$143-'P&amp;L'!Y44)&lt;0.01</f>
        <v/>
      </c>
      <c r="Z17" s="81">
        <f>ABS('P&amp;L'!Z13*Inputs!$D$143-'P&amp;L'!Z44)&lt;0.01</f>
        <v/>
      </c>
      <c r="AA17" s="81">
        <f>ABS('P&amp;L'!AA13*Inputs!$D$143-'P&amp;L'!AA44)&lt;0.01</f>
        <v/>
      </c>
      <c r="AB17" s="81">
        <f>ABS('P&amp;L'!AB13*Inputs!$D$143-'P&amp;L'!AB44)&lt;0.01</f>
        <v/>
      </c>
      <c r="AC17" s="81">
        <f>ABS('P&amp;L'!AC13*Inputs!$D$143-'P&amp;L'!AC44)&lt;0.01</f>
        <v/>
      </c>
      <c r="AD17" s="81">
        <f>ABS('P&amp;L'!AD13*Inputs!$D$143-'P&amp;L'!AD44)&lt;0.01</f>
        <v/>
      </c>
      <c r="AE17" s="81">
        <f>ABS('P&amp;L'!AE13*Inputs!$D$143-'P&amp;L'!AE44)&lt;0.01</f>
        <v/>
      </c>
      <c r="AF17" s="81">
        <f>ABS('P&amp;L'!AF13*Inputs!$D$143-'P&amp;L'!AF44)&lt;0.01</f>
        <v/>
      </c>
      <c r="AG17" s="81">
        <f>ABS('P&amp;L'!AG13*Inputs!$D$143-'P&amp;L'!AG44)&lt;0.01</f>
        <v/>
      </c>
      <c r="AH17" s="81">
        <f>ABS('P&amp;L'!AH13*Inputs!$D$143-'P&amp;L'!AH44)&lt;0.01</f>
        <v/>
      </c>
      <c r="AI17" s="81">
        <f>ABS('P&amp;L'!AI13*Inputs!$D$143-'P&amp;L'!AI44)&lt;0.01</f>
        <v/>
      </c>
      <c r="AJ17" s="81">
        <f>ABS('P&amp;L'!AJ13*Inputs!$D$143-'P&amp;L'!AJ44)&lt;0.01</f>
        <v/>
      </c>
      <c r="AK17" s="81">
        <f>ABS('P&amp;L'!AK13*Inputs!$D$143-'P&amp;L'!AK44)&lt;0.01</f>
        <v/>
      </c>
      <c r="AL17" s="81">
        <f>ABS('P&amp;L'!AL13*Inputs!$D$143-'P&amp;L'!AL44)&lt;0.01</f>
        <v/>
      </c>
      <c r="AM17" s="81">
        <f>ABS('P&amp;L'!AM13*Inputs!$D$143-'P&amp;L'!AM44)&lt;0.01</f>
        <v/>
      </c>
      <c r="AN17" s="81">
        <f>ABS('P&amp;L'!AN13*Inputs!$D$143-'P&amp;L'!AN44)&lt;0.01</f>
        <v/>
      </c>
      <c r="AO17" s="81">
        <f>ABS('P&amp;L'!AO13*Inputs!$D$143-'P&amp;L'!AO44)&lt;0.01</f>
        <v/>
      </c>
      <c r="AP17" s="81">
        <f>ABS('P&amp;L'!AP13*Inputs!$D$143-'P&amp;L'!AP44)&lt;0.01</f>
        <v/>
      </c>
      <c r="AQ17" s="81">
        <f>ABS('P&amp;L'!AQ13*Inputs!$D$143-'P&amp;L'!AQ44)&lt;0.01</f>
        <v/>
      </c>
      <c r="AR17" s="81">
        <f>ABS('P&amp;L'!AR13*Inputs!$D$143-'P&amp;L'!AR44)&lt;0.01</f>
        <v/>
      </c>
      <c r="AS17" s="81">
        <f>ABS('P&amp;L'!AS13*Inputs!$D$143-'P&amp;L'!AS44)&lt;0.01</f>
        <v/>
      </c>
      <c r="AT17" s="81">
        <f>ABS('P&amp;L'!AT13*Inputs!$D$143-'P&amp;L'!AT44)&lt;0.01</f>
        <v/>
      </c>
      <c r="AU17" s="81">
        <f>ABS('P&amp;L'!AU13*Inputs!$D$143-'P&amp;L'!AU44)&lt;0.01</f>
        <v/>
      </c>
      <c r="AV17" s="81">
        <f>ABS('P&amp;L'!AV13*Inputs!$D$143-'P&amp;L'!AV44)&lt;0.01</f>
        <v/>
      </c>
      <c r="AW17" s="81">
        <f>ABS('P&amp;L'!AW13*Inputs!$D$143-'P&amp;L'!AW44)&lt;0.01</f>
        <v/>
      </c>
      <c r="AX17" s="81">
        <f>ABS('P&amp;L'!AX13*Inputs!$D$143-'P&amp;L'!AX44)&lt;0.01</f>
        <v/>
      </c>
      <c r="AY17" s="81">
        <f>ABS('P&amp;L'!AY13*Inputs!$D$143-'P&amp;L'!AY44)&lt;0.01</f>
        <v/>
      </c>
      <c r="AZ17" s="81">
        <f>ABS('P&amp;L'!AZ13*Inputs!$D$143-'P&amp;L'!AZ44)&lt;0.01</f>
        <v/>
      </c>
      <c r="BA17" s="81">
        <f>ABS('P&amp;L'!BA13*Inputs!$D$143-'P&amp;L'!BA44)&lt;0.01</f>
        <v/>
      </c>
      <c r="BB17" s="81">
        <f>ABS('P&amp;L'!BB13*Inputs!$D$143-'P&amp;L'!BB44)&lt;0.01</f>
        <v/>
      </c>
      <c r="BC17" s="81">
        <f>ABS('P&amp;L'!BC13*Inputs!$D$143-'P&amp;L'!BC44)&lt;0.01</f>
        <v/>
      </c>
      <c r="BD17" s="81">
        <f>ABS('P&amp;L'!BD13*Inputs!$D$143-'P&amp;L'!BD44)&lt;0.01</f>
        <v/>
      </c>
      <c r="BE17" s="81">
        <f>ABS('P&amp;L'!BE13*Inputs!$D$143-'P&amp;L'!BE44)&lt;0.01</f>
        <v/>
      </c>
      <c r="BF17" s="81">
        <f>ABS('P&amp;L'!BF13*Inputs!$D$143-'P&amp;L'!BF44)&lt;0.01</f>
        <v/>
      </c>
      <c r="BG17" s="81">
        <f>ABS('P&amp;L'!BG13*Inputs!$D$143-'P&amp;L'!BG44)&lt;0.01</f>
        <v/>
      </c>
      <c r="BH17" s="81">
        <f>ABS('P&amp;L'!BH13*Inputs!$D$143-'P&amp;L'!BH44)&lt;0.01</f>
        <v/>
      </c>
      <c r="BI17" s="81">
        <f>ABS('P&amp;L'!BI13*Inputs!$D$143-'P&amp;L'!BI44)&lt;0.01</f>
        <v/>
      </c>
      <c r="BJ17" s="81">
        <f>ABS('P&amp;L'!BJ13*Inputs!$D$143-'P&amp;L'!BJ44)&lt;0.01</f>
        <v/>
      </c>
      <c r="BK17" s="81">
        <f>ABS('P&amp;L'!BK13*Inputs!$D$143-'P&amp;L'!BK44)&lt;0.01</f>
        <v/>
      </c>
      <c r="BM17" s="82">
        <f>IF(COUNTIF(D17:BK17,FALSE)=0,"OK","FAIL")</f>
        <v/>
      </c>
    </row>
    <row r="18">
      <c r="B18" s="18" t="inlineStr">
        <is>
          <t xml:space="preserve">    Total ARR is never negative</t>
        </is>
      </c>
      <c r="C18" s="19" t="n"/>
      <c r="D18" s="81">
        <f>'Rev-ARR Bridge'!D26&gt;=0</f>
        <v/>
      </c>
      <c r="E18" s="81">
        <f>'Rev-ARR Bridge'!E26&gt;=0</f>
        <v/>
      </c>
      <c r="F18" s="81">
        <f>'Rev-ARR Bridge'!F26&gt;=0</f>
        <v/>
      </c>
      <c r="G18" s="81">
        <f>'Rev-ARR Bridge'!G26&gt;=0</f>
        <v/>
      </c>
      <c r="H18" s="81">
        <f>'Rev-ARR Bridge'!H26&gt;=0</f>
        <v/>
      </c>
      <c r="I18" s="81">
        <f>'Rev-ARR Bridge'!I26&gt;=0</f>
        <v/>
      </c>
      <c r="J18" s="81">
        <f>'Rev-ARR Bridge'!J26&gt;=0</f>
        <v/>
      </c>
      <c r="K18" s="81">
        <f>'Rev-ARR Bridge'!K26&gt;=0</f>
        <v/>
      </c>
      <c r="L18" s="81">
        <f>'Rev-ARR Bridge'!L26&gt;=0</f>
        <v/>
      </c>
      <c r="M18" s="81">
        <f>'Rev-ARR Bridge'!M26&gt;=0</f>
        <v/>
      </c>
      <c r="N18" s="81">
        <f>'Rev-ARR Bridge'!N26&gt;=0</f>
        <v/>
      </c>
      <c r="O18" s="81">
        <f>'Rev-ARR Bridge'!O26&gt;=0</f>
        <v/>
      </c>
      <c r="P18" s="81">
        <f>'Rev-ARR Bridge'!P26&gt;=0</f>
        <v/>
      </c>
      <c r="Q18" s="81">
        <f>'Rev-ARR Bridge'!Q26&gt;=0</f>
        <v/>
      </c>
      <c r="R18" s="81">
        <f>'Rev-ARR Bridge'!R26&gt;=0</f>
        <v/>
      </c>
      <c r="S18" s="81">
        <f>'Rev-ARR Bridge'!S26&gt;=0</f>
        <v/>
      </c>
      <c r="T18" s="81">
        <f>'Rev-ARR Bridge'!T26&gt;=0</f>
        <v/>
      </c>
      <c r="U18" s="81">
        <f>'Rev-ARR Bridge'!U26&gt;=0</f>
        <v/>
      </c>
      <c r="V18" s="81">
        <f>'Rev-ARR Bridge'!V26&gt;=0</f>
        <v/>
      </c>
      <c r="W18" s="81">
        <f>'Rev-ARR Bridge'!W26&gt;=0</f>
        <v/>
      </c>
      <c r="X18" s="81">
        <f>'Rev-ARR Bridge'!X26&gt;=0</f>
        <v/>
      </c>
      <c r="Y18" s="81">
        <f>'Rev-ARR Bridge'!Y26&gt;=0</f>
        <v/>
      </c>
      <c r="Z18" s="81">
        <f>'Rev-ARR Bridge'!Z26&gt;=0</f>
        <v/>
      </c>
      <c r="AA18" s="81">
        <f>'Rev-ARR Bridge'!AA26&gt;=0</f>
        <v/>
      </c>
      <c r="AB18" s="81">
        <f>'Rev-ARR Bridge'!AB26&gt;=0</f>
        <v/>
      </c>
      <c r="AC18" s="81">
        <f>'Rev-ARR Bridge'!AC26&gt;=0</f>
        <v/>
      </c>
      <c r="AD18" s="81">
        <f>'Rev-ARR Bridge'!AD26&gt;=0</f>
        <v/>
      </c>
      <c r="AE18" s="81">
        <f>'Rev-ARR Bridge'!AE26&gt;=0</f>
        <v/>
      </c>
      <c r="AF18" s="81">
        <f>'Rev-ARR Bridge'!AF26&gt;=0</f>
        <v/>
      </c>
      <c r="AG18" s="81">
        <f>'Rev-ARR Bridge'!AG26&gt;=0</f>
        <v/>
      </c>
      <c r="AH18" s="81">
        <f>'Rev-ARR Bridge'!AH26&gt;=0</f>
        <v/>
      </c>
      <c r="AI18" s="81">
        <f>'Rev-ARR Bridge'!AI26&gt;=0</f>
        <v/>
      </c>
      <c r="AJ18" s="81">
        <f>'Rev-ARR Bridge'!AJ26&gt;=0</f>
        <v/>
      </c>
      <c r="AK18" s="81">
        <f>'Rev-ARR Bridge'!AK26&gt;=0</f>
        <v/>
      </c>
      <c r="AL18" s="81">
        <f>'Rev-ARR Bridge'!AL26&gt;=0</f>
        <v/>
      </c>
      <c r="AM18" s="81">
        <f>'Rev-ARR Bridge'!AM26&gt;=0</f>
        <v/>
      </c>
      <c r="AN18" s="81">
        <f>'Rev-ARR Bridge'!AN26&gt;=0</f>
        <v/>
      </c>
      <c r="AO18" s="81">
        <f>'Rev-ARR Bridge'!AO26&gt;=0</f>
        <v/>
      </c>
      <c r="AP18" s="81">
        <f>'Rev-ARR Bridge'!AP26&gt;=0</f>
        <v/>
      </c>
      <c r="AQ18" s="81">
        <f>'Rev-ARR Bridge'!AQ26&gt;=0</f>
        <v/>
      </c>
      <c r="AR18" s="81">
        <f>'Rev-ARR Bridge'!AR26&gt;=0</f>
        <v/>
      </c>
      <c r="AS18" s="81">
        <f>'Rev-ARR Bridge'!AS26&gt;=0</f>
        <v/>
      </c>
      <c r="AT18" s="81">
        <f>'Rev-ARR Bridge'!AT26&gt;=0</f>
        <v/>
      </c>
      <c r="AU18" s="81">
        <f>'Rev-ARR Bridge'!AU26&gt;=0</f>
        <v/>
      </c>
      <c r="AV18" s="81">
        <f>'Rev-ARR Bridge'!AV26&gt;=0</f>
        <v/>
      </c>
      <c r="AW18" s="81">
        <f>'Rev-ARR Bridge'!AW26&gt;=0</f>
        <v/>
      </c>
      <c r="AX18" s="81">
        <f>'Rev-ARR Bridge'!AX26&gt;=0</f>
        <v/>
      </c>
      <c r="AY18" s="81">
        <f>'Rev-ARR Bridge'!AY26&gt;=0</f>
        <v/>
      </c>
      <c r="AZ18" s="81">
        <f>'Rev-ARR Bridge'!AZ26&gt;=0</f>
        <v/>
      </c>
      <c r="BA18" s="81">
        <f>'Rev-ARR Bridge'!BA26&gt;=0</f>
        <v/>
      </c>
      <c r="BB18" s="81">
        <f>'Rev-ARR Bridge'!BB26&gt;=0</f>
        <v/>
      </c>
      <c r="BC18" s="81">
        <f>'Rev-ARR Bridge'!BC26&gt;=0</f>
        <v/>
      </c>
      <c r="BD18" s="81">
        <f>'Rev-ARR Bridge'!BD26&gt;=0</f>
        <v/>
      </c>
      <c r="BE18" s="81">
        <f>'Rev-ARR Bridge'!BE26&gt;=0</f>
        <v/>
      </c>
      <c r="BF18" s="81">
        <f>'Rev-ARR Bridge'!BF26&gt;=0</f>
        <v/>
      </c>
      <c r="BG18" s="81">
        <f>'Rev-ARR Bridge'!BG26&gt;=0</f>
        <v/>
      </c>
      <c r="BH18" s="81">
        <f>'Rev-ARR Bridge'!BH26&gt;=0</f>
        <v/>
      </c>
      <c r="BI18" s="81">
        <f>'Rev-ARR Bridge'!BI26&gt;=0</f>
        <v/>
      </c>
      <c r="BJ18" s="81">
        <f>'Rev-ARR Bridge'!BJ26&gt;=0</f>
        <v/>
      </c>
      <c r="BK18" s="81">
        <f>'Rev-ARR Bridge'!BK26&gt;=0</f>
        <v/>
      </c>
      <c r="BM18" s="82">
        <f>IF(COUNTIF(D18:BK18,FALSE)=0,"OK","FAIL")</f>
        <v/>
      </c>
    </row>
    <row r="19">
      <c r="B19" s="18" t="inlineStr">
        <is>
          <t xml:space="preserve">    Billings equal revenue plus the change in deferred revenue, plus Agents in arrears</t>
        </is>
      </c>
      <c r="C19" s="19" t="n"/>
      <c r="D19" s="81">
        <f>ABS('Cash Flow'!D15-'P&amp;L'!D10-'Cash Flow'!D12-'Cash Flow'!D14)&lt;0.01</f>
        <v/>
      </c>
      <c r="E19" s="81">
        <f>ABS('Cash Flow'!E15-'P&amp;L'!E10-'Cash Flow'!E12-'Cash Flow'!E14)&lt;0.01</f>
        <v/>
      </c>
      <c r="F19" s="81">
        <f>ABS('Cash Flow'!F15-'P&amp;L'!F10-'Cash Flow'!F12-'Cash Flow'!F14)&lt;0.01</f>
        <v/>
      </c>
      <c r="G19" s="81">
        <f>ABS('Cash Flow'!G15-'P&amp;L'!G10-'Cash Flow'!G12-'Cash Flow'!G14)&lt;0.01</f>
        <v/>
      </c>
      <c r="H19" s="81">
        <f>ABS('Cash Flow'!H15-'P&amp;L'!H10-'Cash Flow'!H12-'Cash Flow'!H14)&lt;0.01</f>
        <v/>
      </c>
      <c r="I19" s="81">
        <f>ABS('Cash Flow'!I15-'P&amp;L'!I10-'Cash Flow'!I12-'Cash Flow'!I14)&lt;0.01</f>
        <v/>
      </c>
      <c r="J19" s="81">
        <f>ABS('Cash Flow'!J15-'P&amp;L'!J10-'Cash Flow'!J12-'Cash Flow'!J14)&lt;0.01</f>
        <v/>
      </c>
      <c r="K19" s="81">
        <f>ABS('Cash Flow'!K15-'P&amp;L'!K10-'Cash Flow'!K12-'Cash Flow'!K14)&lt;0.01</f>
        <v/>
      </c>
      <c r="L19" s="81">
        <f>ABS('Cash Flow'!L15-'P&amp;L'!L10-'Cash Flow'!L12-'Cash Flow'!L14)&lt;0.01</f>
        <v/>
      </c>
      <c r="M19" s="81">
        <f>ABS('Cash Flow'!M15-'P&amp;L'!M10-'Cash Flow'!M12-'Cash Flow'!M14)&lt;0.01</f>
        <v/>
      </c>
      <c r="N19" s="81">
        <f>ABS('Cash Flow'!N15-'P&amp;L'!N10-'Cash Flow'!N12-'Cash Flow'!N14)&lt;0.01</f>
        <v/>
      </c>
      <c r="O19" s="81">
        <f>ABS('Cash Flow'!O15-'P&amp;L'!O10-'Cash Flow'!O12-'Cash Flow'!O14)&lt;0.01</f>
        <v/>
      </c>
      <c r="P19" s="81">
        <f>ABS('Cash Flow'!P15-'P&amp;L'!P10-'Cash Flow'!P12-'Cash Flow'!P14)&lt;0.01</f>
        <v/>
      </c>
      <c r="Q19" s="81">
        <f>ABS('Cash Flow'!Q15-'P&amp;L'!Q10-'Cash Flow'!Q12-'Cash Flow'!Q14)&lt;0.01</f>
        <v/>
      </c>
      <c r="R19" s="81">
        <f>ABS('Cash Flow'!R15-'P&amp;L'!R10-'Cash Flow'!R12-'Cash Flow'!R14)&lt;0.01</f>
        <v/>
      </c>
      <c r="S19" s="81">
        <f>ABS('Cash Flow'!S15-'P&amp;L'!S10-'Cash Flow'!S12-'Cash Flow'!S14)&lt;0.01</f>
        <v/>
      </c>
      <c r="T19" s="81">
        <f>ABS('Cash Flow'!T15-'P&amp;L'!T10-'Cash Flow'!T12-'Cash Flow'!T14)&lt;0.01</f>
        <v/>
      </c>
      <c r="U19" s="81">
        <f>ABS('Cash Flow'!U15-'P&amp;L'!U10-'Cash Flow'!U12-'Cash Flow'!U14)&lt;0.01</f>
        <v/>
      </c>
      <c r="V19" s="81">
        <f>ABS('Cash Flow'!V15-'P&amp;L'!V10-'Cash Flow'!V12-'Cash Flow'!V14)&lt;0.01</f>
        <v/>
      </c>
      <c r="W19" s="81">
        <f>ABS('Cash Flow'!W15-'P&amp;L'!W10-'Cash Flow'!W12-'Cash Flow'!W14)&lt;0.01</f>
        <v/>
      </c>
      <c r="X19" s="81">
        <f>ABS('Cash Flow'!X15-'P&amp;L'!X10-'Cash Flow'!X12-'Cash Flow'!X14)&lt;0.01</f>
        <v/>
      </c>
      <c r="Y19" s="81">
        <f>ABS('Cash Flow'!Y15-'P&amp;L'!Y10-'Cash Flow'!Y12-'Cash Flow'!Y14)&lt;0.01</f>
        <v/>
      </c>
      <c r="Z19" s="81">
        <f>ABS('Cash Flow'!Z15-'P&amp;L'!Z10-'Cash Flow'!Z12-'Cash Flow'!Z14)&lt;0.01</f>
        <v/>
      </c>
      <c r="AA19" s="81">
        <f>ABS('Cash Flow'!AA15-'P&amp;L'!AA10-'Cash Flow'!AA12-'Cash Flow'!AA14)&lt;0.01</f>
        <v/>
      </c>
      <c r="AB19" s="81">
        <f>ABS('Cash Flow'!AB15-'P&amp;L'!AB10-'Cash Flow'!AB12-'Cash Flow'!AB14)&lt;0.01</f>
        <v/>
      </c>
      <c r="AC19" s="81">
        <f>ABS('Cash Flow'!AC15-'P&amp;L'!AC10-'Cash Flow'!AC12-'Cash Flow'!AC14)&lt;0.01</f>
        <v/>
      </c>
      <c r="AD19" s="81">
        <f>ABS('Cash Flow'!AD15-'P&amp;L'!AD10-'Cash Flow'!AD12-'Cash Flow'!AD14)&lt;0.01</f>
        <v/>
      </c>
      <c r="AE19" s="81">
        <f>ABS('Cash Flow'!AE15-'P&amp;L'!AE10-'Cash Flow'!AE12-'Cash Flow'!AE14)&lt;0.01</f>
        <v/>
      </c>
      <c r="AF19" s="81">
        <f>ABS('Cash Flow'!AF15-'P&amp;L'!AF10-'Cash Flow'!AF12-'Cash Flow'!AF14)&lt;0.01</f>
        <v/>
      </c>
      <c r="AG19" s="81">
        <f>ABS('Cash Flow'!AG15-'P&amp;L'!AG10-'Cash Flow'!AG12-'Cash Flow'!AG14)&lt;0.01</f>
        <v/>
      </c>
      <c r="AH19" s="81">
        <f>ABS('Cash Flow'!AH15-'P&amp;L'!AH10-'Cash Flow'!AH12-'Cash Flow'!AH14)&lt;0.01</f>
        <v/>
      </c>
      <c r="AI19" s="81">
        <f>ABS('Cash Flow'!AI15-'P&amp;L'!AI10-'Cash Flow'!AI12-'Cash Flow'!AI14)&lt;0.01</f>
        <v/>
      </c>
      <c r="AJ19" s="81">
        <f>ABS('Cash Flow'!AJ15-'P&amp;L'!AJ10-'Cash Flow'!AJ12-'Cash Flow'!AJ14)&lt;0.01</f>
        <v/>
      </c>
      <c r="AK19" s="81">
        <f>ABS('Cash Flow'!AK15-'P&amp;L'!AK10-'Cash Flow'!AK12-'Cash Flow'!AK14)&lt;0.01</f>
        <v/>
      </c>
      <c r="AL19" s="81">
        <f>ABS('Cash Flow'!AL15-'P&amp;L'!AL10-'Cash Flow'!AL12-'Cash Flow'!AL14)&lt;0.01</f>
        <v/>
      </c>
      <c r="AM19" s="81">
        <f>ABS('Cash Flow'!AM15-'P&amp;L'!AM10-'Cash Flow'!AM12-'Cash Flow'!AM14)&lt;0.01</f>
        <v/>
      </c>
      <c r="AN19" s="81">
        <f>ABS('Cash Flow'!AN15-'P&amp;L'!AN10-'Cash Flow'!AN12-'Cash Flow'!AN14)&lt;0.01</f>
        <v/>
      </c>
      <c r="AO19" s="81">
        <f>ABS('Cash Flow'!AO15-'P&amp;L'!AO10-'Cash Flow'!AO12-'Cash Flow'!AO14)&lt;0.01</f>
        <v/>
      </c>
      <c r="AP19" s="81">
        <f>ABS('Cash Flow'!AP15-'P&amp;L'!AP10-'Cash Flow'!AP12-'Cash Flow'!AP14)&lt;0.01</f>
        <v/>
      </c>
      <c r="AQ19" s="81">
        <f>ABS('Cash Flow'!AQ15-'P&amp;L'!AQ10-'Cash Flow'!AQ12-'Cash Flow'!AQ14)&lt;0.01</f>
        <v/>
      </c>
      <c r="AR19" s="81">
        <f>ABS('Cash Flow'!AR15-'P&amp;L'!AR10-'Cash Flow'!AR12-'Cash Flow'!AR14)&lt;0.01</f>
        <v/>
      </c>
      <c r="AS19" s="81">
        <f>ABS('Cash Flow'!AS15-'P&amp;L'!AS10-'Cash Flow'!AS12-'Cash Flow'!AS14)&lt;0.01</f>
        <v/>
      </c>
      <c r="AT19" s="81">
        <f>ABS('Cash Flow'!AT15-'P&amp;L'!AT10-'Cash Flow'!AT12-'Cash Flow'!AT14)&lt;0.01</f>
        <v/>
      </c>
      <c r="AU19" s="81">
        <f>ABS('Cash Flow'!AU15-'P&amp;L'!AU10-'Cash Flow'!AU12-'Cash Flow'!AU14)&lt;0.01</f>
        <v/>
      </c>
      <c r="AV19" s="81">
        <f>ABS('Cash Flow'!AV15-'P&amp;L'!AV10-'Cash Flow'!AV12-'Cash Flow'!AV14)&lt;0.01</f>
        <v/>
      </c>
      <c r="AW19" s="81">
        <f>ABS('Cash Flow'!AW15-'P&amp;L'!AW10-'Cash Flow'!AW12-'Cash Flow'!AW14)&lt;0.01</f>
        <v/>
      </c>
      <c r="AX19" s="81">
        <f>ABS('Cash Flow'!AX15-'P&amp;L'!AX10-'Cash Flow'!AX12-'Cash Flow'!AX14)&lt;0.01</f>
        <v/>
      </c>
      <c r="AY19" s="81">
        <f>ABS('Cash Flow'!AY15-'P&amp;L'!AY10-'Cash Flow'!AY12-'Cash Flow'!AY14)&lt;0.01</f>
        <v/>
      </c>
      <c r="AZ19" s="81">
        <f>ABS('Cash Flow'!AZ15-'P&amp;L'!AZ10-'Cash Flow'!AZ12-'Cash Flow'!AZ14)&lt;0.01</f>
        <v/>
      </c>
      <c r="BA19" s="81">
        <f>ABS('Cash Flow'!BA15-'P&amp;L'!BA10-'Cash Flow'!BA12-'Cash Flow'!BA14)&lt;0.01</f>
        <v/>
      </c>
      <c r="BB19" s="81">
        <f>ABS('Cash Flow'!BB15-'P&amp;L'!BB10-'Cash Flow'!BB12-'Cash Flow'!BB14)&lt;0.01</f>
        <v/>
      </c>
      <c r="BC19" s="81">
        <f>ABS('Cash Flow'!BC15-'P&amp;L'!BC10-'Cash Flow'!BC12-'Cash Flow'!BC14)&lt;0.01</f>
        <v/>
      </c>
      <c r="BD19" s="81">
        <f>ABS('Cash Flow'!BD15-'P&amp;L'!BD10-'Cash Flow'!BD12-'Cash Flow'!BD14)&lt;0.01</f>
        <v/>
      </c>
      <c r="BE19" s="81">
        <f>ABS('Cash Flow'!BE15-'P&amp;L'!BE10-'Cash Flow'!BE12-'Cash Flow'!BE14)&lt;0.01</f>
        <v/>
      </c>
      <c r="BF19" s="81">
        <f>ABS('Cash Flow'!BF15-'P&amp;L'!BF10-'Cash Flow'!BF12-'Cash Flow'!BF14)&lt;0.01</f>
        <v/>
      </c>
      <c r="BG19" s="81">
        <f>ABS('Cash Flow'!BG15-'P&amp;L'!BG10-'Cash Flow'!BG12-'Cash Flow'!BG14)&lt;0.01</f>
        <v/>
      </c>
      <c r="BH19" s="81">
        <f>ABS('Cash Flow'!BH15-'P&amp;L'!BH10-'Cash Flow'!BH12-'Cash Flow'!BH14)&lt;0.01</f>
        <v/>
      </c>
      <c r="BI19" s="81">
        <f>ABS('Cash Flow'!BI15-'P&amp;L'!BI10-'Cash Flow'!BI12-'Cash Flow'!BI14)&lt;0.01</f>
        <v/>
      </c>
      <c r="BJ19" s="81">
        <f>ABS('Cash Flow'!BJ15-'P&amp;L'!BJ10-'Cash Flow'!BJ12-'Cash Flow'!BJ14)&lt;0.01</f>
        <v/>
      </c>
      <c r="BK19" s="81">
        <f>ABS('Cash Flow'!BK15-'P&amp;L'!BK10-'Cash Flow'!BK12-'Cash Flow'!BK14)&lt;0.01</f>
        <v/>
      </c>
      <c r="BM19" s="82">
        <f>IF(COUNTIF(D19:BK19,FALSE)=0,"OK","FAIL")</f>
        <v/>
      </c>
    </row>
    <row r="20"/>
    <row r="21">
      <c r="B21" s="3" t="inlineStr">
        <is>
          <t>OPENING BALANCE TIES</t>
        </is>
      </c>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c r="AZ21" s="4" t="n"/>
      <c r="BA21" s="4" t="n"/>
      <c r="BB21" s="4" t="n"/>
      <c r="BC21" s="4" t="n"/>
      <c r="BD21" s="4" t="n"/>
      <c r="BE21" s="4" t="n"/>
      <c r="BF21" s="4" t="n"/>
      <c r="BG21" s="4" t="n"/>
      <c r="BH21" s="4" t="n"/>
      <c r="BI21" s="4" t="n"/>
      <c r="BJ21" s="4" t="n"/>
      <c r="BK21" s="4" t="n"/>
      <c r="BL21" s="4" t="n"/>
      <c r="BM21" s="4" t="n"/>
      <c r="BN21" s="4" t="n"/>
      <c r="BO21" s="4" t="n"/>
      <c r="BP21" s="4" t="n"/>
      <c r="BQ21" s="4" t="n"/>
    </row>
    <row r="22">
      <c r="B22" s="18" t="inlineStr">
        <is>
          <t xml:space="preserve">    Opening ARR equals the given $55.0M</t>
        </is>
      </c>
      <c r="C22" s="19" t="n"/>
      <c r="D22" s="82">
        <f>IF(ABS(Inputs!$D$15+Inputs!$D$17-Inputs!$D$9)&lt;1,"OK","FAIL")</f>
        <v/>
      </c>
    </row>
    <row r="23">
      <c r="B23" s="18" t="inlineStr">
        <is>
          <t xml:space="preserve">    Opening headcount equals the given 250</t>
        </is>
      </c>
      <c r="C23" s="19" t="n"/>
      <c r="D23" s="82">
        <f>IF(ABS(Inputs!$D$128+Inputs!$D$129+Inputs!$D$130+Inputs!$D$131-Inputs!$D$11)&lt;1,"OK","FAIL")</f>
        <v/>
      </c>
    </row>
    <row r="24">
      <c r="B24" s="18" t="inlineStr">
        <is>
          <t xml:space="preserve">    Opening cash equals the given $110.0M</t>
        </is>
      </c>
      <c r="C24" s="19" t="n"/>
      <c r="D24" s="82">
        <f>IF(ABS('Cash Flow'!D30-Inputs!$D$10)&lt;1,"OK","FAIL")</f>
        <v/>
      </c>
    </row>
    <row r="25">
      <c r="B25" s="18" t="inlineStr">
        <is>
          <t xml:space="preserve">    Billing mix sums to one hundred per cent</t>
        </is>
      </c>
      <c r="C25" s="19" t="n"/>
      <c r="D25" s="82">
        <f>IF(ABS(Inputs!$D$183+Inputs!$D$184-1)&lt;0.0001,"OK","FAIL")</f>
        <v/>
      </c>
    </row>
    <row r="26"/>
    <row r="27" ht="16" customHeight="1">
      <c r="B27" s="29" t="inlineStr">
        <is>
          <t>OVERALL</t>
        </is>
      </c>
      <c r="C27" s="19" t="n"/>
      <c r="D27" s="83">
        <f>IF(COUNTIF(BM10:BM19,"FAIL")=0,"ALL CHECKS PASS","REVIEW REQUIRED")</f>
        <v/>
      </c>
    </row>
  </sheetData>
  <conditionalFormatting sqref="D22:D25">
    <cfRule type="cellIs" priority="21" operator="equal" dxfId="1">
      <formula>"OK"</formula>
    </cfRule>
    <cfRule type="cellIs" priority="22" operator="equal" dxfId="0">
      <formula>"FAIL"</formula>
    </cfRule>
  </conditionalFormatting>
  <conditionalFormatting sqref="D27">
    <cfRule type="cellIs" priority="29" operator="equal" dxfId="1">
      <formula>"ALL CHECKS PASS"</formula>
    </cfRule>
    <cfRule type="cellIs" priority="30" operator="equal" dxfId="0">
      <formula>"REVIEW REQUIRED"</formula>
    </cfRule>
  </conditionalFormatting>
  <conditionalFormatting sqref="BM10:BM19">
    <cfRule type="cellIs" priority="1" operator="equal" dxfId="1">
      <formula>"OK"</formula>
    </cfRule>
    <cfRule type="cellIs" priority="2" operator="equal" dxfId="0">
      <formula>"FAIL"</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2026-08-16T22:59:03Z</dcterms:created>
  <dcterms:modified xmlns:dcterms="http://purl.org/dc/terms/" xmlns:xsi="http://www.w3.org/2001/XMLSchema-instance" xsi:type="dcterms:W3CDTF">2026-08-16T23:37:22Z</dcterms:modified>
  <cp:lastModifiedBy>Asad Sayani</cp:lastModifiedBy>
</cp:coreProperties>
</file>